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BM GAMER\Desktop\U\INF - 354\2D0 PARCIAL\"/>
    </mc:Choice>
  </mc:AlternateContent>
  <bookViews>
    <workbookView xWindow="0" yWindow="0" windowWidth="23040" windowHeight="9780"/>
  </bookViews>
  <sheets>
    <sheet name="Hoja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5" i="1" l="1"/>
  <c r="E31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D31" i="1" l="1"/>
  <c r="E7" i="1"/>
  <c r="D7" i="1"/>
  <c r="C8" i="1" l="1"/>
  <c r="C16" i="1"/>
  <c r="C24" i="1"/>
  <c r="C15" i="1"/>
  <c r="C23" i="1"/>
  <c r="C22" i="1"/>
  <c r="C21" i="1"/>
  <c r="C13" i="1"/>
  <c r="C14" i="1"/>
  <c r="C20" i="1"/>
  <c r="C12" i="1"/>
  <c r="C27" i="1"/>
  <c r="C19" i="1"/>
  <c r="C11" i="1"/>
  <c r="C26" i="1"/>
  <c r="C18" i="1"/>
  <c r="C10" i="1"/>
  <c r="C25" i="1"/>
  <c r="C17" i="1"/>
  <c r="C9" i="1"/>
  <c r="D11" i="1" l="1"/>
  <c r="D9" i="1"/>
  <c r="D15" i="1"/>
  <c r="D13" i="1"/>
  <c r="D17" i="1"/>
  <c r="D12" i="1"/>
  <c r="D16" i="1"/>
  <c r="D10" i="1"/>
  <c r="D14" i="1"/>
  <c r="D8" i="1"/>
  <c r="D25" i="1"/>
  <c r="F25" i="1"/>
  <c r="G25" i="1" s="1"/>
  <c r="D26" i="1"/>
  <c r="F26" i="1"/>
  <c r="G26" i="1" s="1"/>
  <c r="D21" i="1"/>
  <c r="F21" i="1"/>
  <c r="G21" i="1" s="1"/>
  <c r="D18" i="1"/>
  <c r="F18" i="1"/>
  <c r="G18" i="1" s="1"/>
  <c r="D20" i="1"/>
  <c r="F20" i="1"/>
  <c r="G20" i="1" s="1"/>
  <c r="D22" i="1"/>
  <c r="F22" i="1"/>
  <c r="G22" i="1" s="1"/>
  <c r="D19" i="1"/>
  <c r="F19" i="1"/>
  <c r="G19" i="1" s="1"/>
  <c r="D23" i="1"/>
  <c r="F23" i="1"/>
  <c r="G23" i="1" s="1"/>
  <c r="D27" i="1"/>
  <c r="F27" i="1"/>
  <c r="G27" i="1" s="1"/>
  <c r="D24" i="1"/>
  <c r="F24" i="1"/>
  <c r="G24" i="1" s="1"/>
  <c r="F8" i="1"/>
  <c r="G8" i="1" s="1"/>
  <c r="F15" i="1"/>
  <c r="G15" i="1" s="1"/>
  <c r="F12" i="1"/>
  <c r="G12" i="1" s="1"/>
  <c r="F13" i="1"/>
  <c r="G13" i="1" s="1"/>
  <c r="F14" i="1"/>
  <c r="G14" i="1" s="1"/>
  <c r="F11" i="1"/>
  <c r="G11" i="1" s="1"/>
  <c r="F9" i="1"/>
  <c r="G9" i="1" s="1"/>
  <c r="F17" i="1"/>
  <c r="G17" i="1" s="1"/>
  <c r="F10" i="1"/>
  <c r="G10" i="1" s="1"/>
  <c r="F16" i="1"/>
  <c r="G16" i="1" s="1"/>
  <c r="E9" i="1"/>
  <c r="E20" i="1"/>
  <c r="E16" i="1"/>
  <c r="E27" i="1"/>
  <c r="E14" i="1"/>
  <c r="E17" i="1"/>
  <c r="E26" i="1"/>
  <c r="E23" i="1"/>
  <c r="E22" i="1"/>
  <c r="E24" i="1"/>
  <c r="E12" i="1"/>
  <c r="E8" i="1"/>
  <c r="E21" i="1"/>
  <c r="E10" i="1"/>
  <c r="E25" i="1"/>
  <c r="E11" i="1"/>
  <c r="E13" i="1"/>
  <c r="E19" i="1"/>
  <c r="E15" i="1"/>
  <c r="E18" i="1"/>
  <c r="I16" i="1" l="1"/>
  <c r="H16" i="1"/>
  <c r="H15" i="1"/>
  <c r="I15" i="1"/>
  <c r="H19" i="1"/>
  <c r="I19" i="1"/>
  <c r="I21" i="1"/>
  <c r="H21" i="1"/>
  <c r="H10" i="1"/>
  <c r="I10" i="1"/>
  <c r="H23" i="1"/>
  <c r="I23" i="1"/>
  <c r="H17" i="1"/>
  <c r="I17" i="1"/>
  <c r="H22" i="1"/>
  <c r="I22" i="1"/>
  <c r="H26" i="1"/>
  <c r="I26" i="1"/>
  <c r="H13" i="1"/>
  <c r="I13" i="1"/>
  <c r="H24" i="1"/>
  <c r="I24" i="1"/>
  <c r="H9" i="1"/>
  <c r="I9" i="1"/>
  <c r="H12" i="1"/>
  <c r="I12" i="1"/>
  <c r="H11" i="1"/>
  <c r="I11" i="1"/>
  <c r="H20" i="1"/>
  <c r="I20" i="1"/>
  <c r="H25" i="1"/>
  <c r="I25" i="1"/>
  <c r="H18" i="1"/>
  <c r="I18" i="1"/>
  <c r="H27" i="1"/>
  <c r="I27" i="1"/>
  <c r="H14" i="1"/>
  <c r="I14" i="1"/>
  <c r="I8" i="1"/>
  <c r="H8" i="1"/>
  <c r="J27" i="1" l="1"/>
  <c r="K27" i="1" s="1"/>
  <c r="L27" i="1" s="1"/>
  <c r="J11" i="1"/>
  <c r="K11" i="1" s="1"/>
  <c r="L11" i="1" s="1"/>
  <c r="J16" i="1"/>
  <c r="K16" i="1" s="1"/>
  <c r="L16" i="1" s="1"/>
  <c r="J24" i="1"/>
  <c r="K24" i="1" s="1"/>
  <c r="L24" i="1" s="1"/>
  <c r="J17" i="1"/>
  <c r="K17" i="1" s="1"/>
  <c r="L17" i="1" s="1"/>
  <c r="J10" i="1"/>
  <c r="K10" i="1" s="1"/>
  <c r="L10" i="1" s="1"/>
  <c r="J26" i="1"/>
  <c r="K26" i="1" s="1"/>
  <c r="L26" i="1" s="1"/>
  <c r="J14" i="1"/>
  <c r="K14" i="1" s="1"/>
  <c r="L14" i="1" s="1"/>
  <c r="J15" i="1"/>
  <c r="K15" i="1" s="1"/>
  <c r="L15" i="1" s="1"/>
  <c r="J13" i="1"/>
  <c r="K13" i="1" s="1"/>
  <c r="L13" i="1" s="1"/>
  <c r="J21" i="1"/>
  <c r="K21" i="1" s="1"/>
  <c r="L21" i="1" s="1"/>
  <c r="J25" i="1"/>
  <c r="K25" i="1" s="1"/>
  <c r="L25" i="1" s="1"/>
  <c r="J18" i="1"/>
  <c r="K18" i="1" s="1"/>
  <c r="L18" i="1" s="1"/>
  <c r="J12" i="1"/>
  <c r="K12" i="1" s="1"/>
  <c r="L12" i="1" s="1"/>
  <c r="J9" i="1"/>
  <c r="K9" i="1" s="1"/>
  <c r="L9" i="1" s="1"/>
  <c r="J20" i="1"/>
  <c r="K20" i="1" s="1"/>
  <c r="L20" i="1" s="1"/>
  <c r="J8" i="1"/>
  <c r="K8" i="1" s="1"/>
  <c r="J19" i="1"/>
  <c r="K19" i="1" s="1"/>
  <c r="L19" i="1" s="1"/>
  <c r="J22" i="1"/>
  <c r="K22" i="1" s="1"/>
  <c r="L22" i="1" s="1"/>
  <c r="J23" i="1"/>
  <c r="K23" i="1" s="1"/>
  <c r="L23" i="1" s="1"/>
  <c r="L8" i="1" l="1"/>
  <c r="M11" i="1" l="1"/>
  <c r="B35" i="1" s="1"/>
  <c r="M19" i="1"/>
  <c r="B43" i="1" s="1"/>
  <c r="M27" i="1"/>
  <c r="B51" i="1" s="1"/>
  <c r="M12" i="1"/>
  <c r="B36" i="1" s="1"/>
  <c r="M20" i="1"/>
  <c r="B44" i="1" s="1"/>
  <c r="M13" i="1"/>
  <c r="B37" i="1" s="1"/>
  <c r="M14" i="1"/>
  <c r="B38" i="1" s="1"/>
  <c r="M22" i="1"/>
  <c r="B46" i="1" s="1"/>
  <c r="M24" i="1"/>
  <c r="B48" i="1" s="1"/>
  <c r="M9" i="1"/>
  <c r="B33" i="1" s="1"/>
  <c r="M25" i="1"/>
  <c r="B49" i="1" s="1"/>
  <c r="M18" i="1"/>
  <c r="B42" i="1" s="1"/>
  <c r="M21" i="1"/>
  <c r="B45" i="1" s="1"/>
  <c r="M15" i="1"/>
  <c r="B39" i="1" s="1"/>
  <c r="M23" i="1"/>
  <c r="B47" i="1" s="1"/>
  <c r="M16" i="1"/>
  <c r="B40" i="1" s="1"/>
  <c r="M17" i="1"/>
  <c r="B41" i="1" s="1"/>
  <c r="M10" i="1"/>
  <c r="B34" i="1" s="1"/>
  <c r="M26" i="1"/>
  <c r="B50" i="1" s="1"/>
  <c r="M8" i="1"/>
  <c r="B32" i="1" s="1"/>
  <c r="D55" i="1" l="1"/>
  <c r="C32" i="1"/>
  <c r="C33" i="1"/>
  <c r="C41" i="1"/>
  <c r="C49" i="1"/>
  <c r="C42" i="1"/>
  <c r="C50" i="1"/>
  <c r="C34" i="1"/>
  <c r="C35" i="1"/>
  <c r="C43" i="1"/>
  <c r="C51" i="1"/>
  <c r="C44" i="1"/>
  <c r="C36" i="1"/>
  <c r="C37" i="1"/>
  <c r="C45" i="1"/>
  <c r="C40" i="1"/>
  <c r="C38" i="1"/>
  <c r="C46" i="1"/>
  <c r="C48" i="1"/>
  <c r="C39" i="1"/>
  <c r="C47" i="1"/>
  <c r="D32" i="1"/>
  <c r="F32" i="1"/>
  <c r="G32" i="1" s="1"/>
  <c r="E32" i="1"/>
  <c r="F40" i="1" l="1"/>
  <c r="G40" i="1" s="1"/>
  <c r="D40" i="1"/>
  <c r="D34" i="1"/>
  <c r="F34" i="1"/>
  <c r="G34" i="1" s="1"/>
  <c r="D45" i="1"/>
  <c r="F45" i="1"/>
  <c r="G45" i="1" s="1"/>
  <c r="D50" i="1"/>
  <c r="F50" i="1"/>
  <c r="G50" i="1" s="1"/>
  <c r="F37" i="1"/>
  <c r="G37" i="1" s="1"/>
  <c r="D37" i="1"/>
  <c r="D42" i="1"/>
  <c r="F42" i="1"/>
  <c r="G42" i="1" s="1"/>
  <c r="D35" i="1"/>
  <c r="F35" i="1"/>
  <c r="G35" i="1" s="1"/>
  <c r="F36" i="1"/>
  <c r="G36" i="1" s="1"/>
  <c r="D36" i="1"/>
  <c r="F49" i="1"/>
  <c r="G49" i="1" s="1"/>
  <c r="D49" i="1"/>
  <c r="F38" i="1"/>
  <c r="G38" i="1" s="1"/>
  <c r="D38" i="1"/>
  <c r="D44" i="1"/>
  <c r="F44" i="1"/>
  <c r="G44" i="1" s="1"/>
  <c r="F41" i="1"/>
  <c r="G41" i="1" s="1"/>
  <c r="D41" i="1"/>
  <c r="F47" i="1"/>
  <c r="G47" i="1" s="1"/>
  <c r="D47" i="1"/>
  <c r="D48" i="1"/>
  <c r="F48" i="1"/>
  <c r="G48" i="1" s="1"/>
  <c r="D51" i="1"/>
  <c r="F51" i="1"/>
  <c r="G51" i="1" s="1"/>
  <c r="D33" i="1"/>
  <c r="F33" i="1"/>
  <c r="G33" i="1" s="1"/>
  <c r="F39" i="1"/>
  <c r="G39" i="1" s="1"/>
  <c r="D39" i="1"/>
  <c r="F46" i="1"/>
  <c r="G46" i="1" s="1"/>
  <c r="D46" i="1"/>
  <c r="F43" i="1"/>
  <c r="G43" i="1" s="1"/>
  <c r="D43" i="1"/>
  <c r="I32" i="1"/>
  <c r="H32" i="1"/>
  <c r="E40" i="1"/>
  <c r="E36" i="1"/>
  <c r="E44" i="1"/>
  <c r="E38" i="1"/>
  <c r="E45" i="1"/>
  <c r="E37" i="1"/>
  <c r="E34" i="1"/>
  <c r="E51" i="1"/>
  <c r="E33" i="1"/>
  <c r="E49" i="1"/>
  <c r="E42" i="1"/>
  <c r="E50" i="1"/>
  <c r="E47" i="1"/>
  <c r="E41" i="1"/>
  <c r="E48" i="1"/>
  <c r="E43" i="1"/>
  <c r="E39" i="1"/>
  <c r="E46" i="1"/>
  <c r="E35" i="1"/>
  <c r="I36" i="1" l="1"/>
  <c r="H36" i="1"/>
  <c r="H50" i="1"/>
  <c r="I50" i="1"/>
  <c r="I51" i="1"/>
  <c r="H51" i="1"/>
  <c r="H45" i="1"/>
  <c r="I45" i="1"/>
  <c r="I43" i="1"/>
  <c r="H43" i="1"/>
  <c r="I41" i="1"/>
  <c r="H41" i="1"/>
  <c r="H42" i="1"/>
  <c r="I42" i="1"/>
  <c r="H34" i="1"/>
  <c r="I34" i="1"/>
  <c r="H35" i="1"/>
  <c r="I35" i="1"/>
  <c r="I46" i="1"/>
  <c r="H46" i="1"/>
  <c r="H38" i="1"/>
  <c r="I38" i="1"/>
  <c r="I33" i="1"/>
  <c r="J32" i="1" s="1"/>
  <c r="K32" i="1" s="1"/>
  <c r="L32" i="1" s="1"/>
  <c r="H33" i="1"/>
  <c r="J33" i="1" s="1"/>
  <c r="K33" i="1" s="1"/>
  <c r="L33" i="1" s="1"/>
  <c r="H44" i="1"/>
  <c r="I44" i="1"/>
  <c r="I48" i="1"/>
  <c r="H48" i="1"/>
  <c r="I39" i="1"/>
  <c r="H39" i="1"/>
  <c r="H47" i="1"/>
  <c r="J47" i="1" s="1"/>
  <c r="K47" i="1" s="1"/>
  <c r="L47" i="1" s="1"/>
  <c r="I47" i="1"/>
  <c r="I49" i="1"/>
  <c r="H49" i="1"/>
  <c r="I37" i="1"/>
  <c r="H37" i="1"/>
  <c r="I40" i="1"/>
  <c r="H40" i="1"/>
  <c r="J44" i="1" l="1"/>
  <c r="K44" i="1" s="1"/>
  <c r="L44" i="1" s="1"/>
  <c r="J35" i="1"/>
  <c r="K35" i="1" s="1"/>
  <c r="L35" i="1" s="1"/>
  <c r="J41" i="1"/>
  <c r="K41" i="1" s="1"/>
  <c r="L41" i="1" s="1"/>
  <c r="J34" i="1"/>
  <c r="K34" i="1" s="1"/>
  <c r="L34" i="1" s="1"/>
  <c r="J45" i="1"/>
  <c r="K45" i="1" s="1"/>
  <c r="L45" i="1" s="1"/>
  <c r="J37" i="1"/>
  <c r="K37" i="1" s="1"/>
  <c r="L37" i="1" s="1"/>
  <c r="J36" i="1"/>
  <c r="K36" i="1" s="1"/>
  <c r="L36" i="1" s="1"/>
  <c r="J38" i="1"/>
  <c r="K38" i="1" s="1"/>
  <c r="L38" i="1" s="1"/>
  <c r="J39" i="1"/>
  <c r="K39" i="1" s="1"/>
  <c r="L39" i="1" s="1"/>
  <c r="J49" i="1"/>
  <c r="K49" i="1" s="1"/>
  <c r="L49" i="1" s="1"/>
  <c r="J40" i="1"/>
  <c r="K40" i="1" s="1"/>
  <c r="L40" i="1" s="1"/>
  <c r="J51" i="1"/>
  <c r="K51" i="1" s="1"/>
  <c r="L51" i="1" s="1"/>
  <c r="J50" i="1"/>
  <c r="K50" i="1" s="1"/>
  <c r="L50" i="1" s="1"/>
  <c r="J48" i="1"/>
  <c r="K48" i="1" s="1"/>
  <c r="L48" i="1" s="1"/>
  <c r="J46" i="1"/>
  <c r="K46" i="1" s="1"/>
  <c r="L46" i="1" s="1"/>
  <c r="J43" i="1"/>
  <c r="K43" i="1" s="1"/>
  <c r="L43" i="1" s="1"/>
  <c r="J42" i="1"/>
  <c r="K42" i="1" s="1"/>
  <c r="L42" i="1" s="1"/>
  <c r="M39" i="1" l="1"/>
  <c r="B63" i="1" s="1"/>
  <c r="M33" i="1"/>
  <c r="B57" i="1" s="1"/>
  <c r="M46" i="1"/>
  <c r="B70" i="1" s="1"/>
  <c r="M35" i="1"/>
  <c r="B59" i="1" s="1"/>
  <c r="M38" i="1"/>
  <c r="B62" i="1" s="1"/>
  <c r="M50" i="1"/>
  <c r="B74" i="1" s="1"/>
  <c r="M32" i="1"/>
  <c r="B56" i="1" s="1"/>
  <c r="M45" i="1"/>
  <c r="B69" i="1" s="1"/>
  <c r="M42" i="1"/>
  <c r="B66" i="1" s="1"/>
  <c r="M37" i="1"/>
  <c r="B61" i="1" s="1"/>
  <c r="M34" i="1"/>
  <c r="B58" i="1" s="1"/>
  <c r="M43" i="1"/>
  <c r="B67" i="1" s="1"/>
  <c r="M48" i="1"/>
  <c r="B72" i="1" s="1"/>
  <c r="M44" i="1"/>
  <c r="B68" i="1" s="1"/>
  <c r="M49" i="1"/>
  <c r="B73" i="1" s="1"/>
  <c r="M40" i="1"/>
  <c r="B64" i="1" s="1"/>
  <c r="M36" i="1"/>
  <c r="B60" i="1" s="1"/>
  <c r="M41" i="1"/>
  <c r="B65" i="1" s="1"/>
  <c r="M47" i="1"/>
  <c r="B71" i="1" s="1"/>
  <c r="M51" i="1"/>
  <c r="B75" i="1" s="1"/>
  <c r="C57" i="1" l="1"/>
  <c r="C65" i="1"/>
  <c r="C73" i="1"/>
  <c r="C58" i="1"/>
  <c r="C66" i="1"/>
  <c r="C74" i="1"/>
  <c r="C59" i="1"/>
  <c r="C67" i="1"/>
  <c r="C75" i="1"/>
  <c r="C60" i="1"/>
  <c r="C68" i="1"/>
  <c r="C61" i="1"/>
  <c r="C69" i="1"/>
  <c r="C72" i="1"/>
  <c r="C62" i="1"/>
  <c r="C70" i="1"/>
  <c r="C64" i="1"/>
  <c r="C63" i="1"/>
  <c r="C71" i="1"/>
  <c r="C56" i="1"/>
  <c r="F62" i="1" l="1"/>
  <c r="G62" i="1" s="1"/>
  <c r="D62" i="1"/>
  <c r="D59" i="1"/>
  <c r="F59" i="1"/>
  <c r="G59" i="1" s="1"/>
  <c r="F74" i="1"/>
  <c r="G74" i="1" s="1"/>
  <c r="D74" i="1"/>
  <c r="F70" i="1"/>
  <c r="G70" i="1" s="1"/>
  <c r="D70" i="1"/>
  <c r="D69" i="1"/>
  <c r="F69" i="1"/>
  <c r="G69" i="1" s="1"/>
  <c r="F66" i="1"/>
  <c r="G66" i="1" s="1"/>
  <c r="D66" i="1"/>
  <c r="D61" i="1"/>
  <c r="F61" i="1"/>
  <c r="G61" i="1" s="1"/>
  <c r="F58" i="1"/>
  <c r="G58" i="1" s="1"/>
  <c r="D58" i="1"/>
  <c r="D67" i="1"/>
  <c r="F67" i="1"/>
  <c r="G67" i="1" s="1"/>
  <c r="F68" i="1"/>
  <c r="G68" i="1" s="1"/>
  <c r="D68" i="1"/>
  <c r="F73" i="1"/>
  <c r="G73" i="1" s="1"/>
  <c r="D73" i="1"/>
  <c r="D72" i="1"/>
  <c r="F72" i="1"/>
  <c r="G72" i="1" s="1"/>
  <c r="F63" i="1"/>
  <c r="G63" i="1" s="1"/>
  <c r="D63" i="1"/>
  <c r="F60" i="1"/>
  <c r="G60" i="1" s="1"/>
  <c r="D60" i="1"/>
  <c r="D65" i="1"/>
  <c r="F65" i="1"/>
  <c r="G65" i="1" s="1"/>
  <c r="D71" i="1"/>
  <c r="F71" i="1"/>
  <c r="G71" i="1" s="1"/>
  <c r="F64" i="1"/>
  <c r="G64" i="1" s="1"/>
  <c r="D64" i="1"/>
  <c r="D75" i="1"/>
  <c r="F75" i="1"/>
  <c r="G75" i="1" s="1"/>
  <c r="D57" i="1"/>
  <c r="F57" i="1"/>
  <c r="G57" i="1" s="1"/>
  <c r="F56" i="1"/>
  <c r="G56" i="1" s="1"/>
  <c r="D56" i="1"/>
  <c r="E69" i="1"/>
  <c r="E70" i="1"/>
  <c r="E72" i="1"/>
  <c r="E67" i="1"/>
  <c r="E66" i="1"/>
  <c r="E71" i="1"/>
  <c r="E62" i="1"/>
  <c r="E68" i="1"/>
  <c r="E58" i="1"/>
  <c r="E63" i="1"/>
  <c r="E60" i="1"/>
  <c r="E56" i="1"/>
  <c r="E59" i="1"/>
  <c r="E74" i="1"/>
  <c r="E61" i="1"/>
  <c r="E75" i="1"/>
  <c r="E65" i="1"/>
  <c r="E64" i="1"/>
  <c r="E73" i="1"/>
  <c r="E57" i="1"/>
  <c r="I72" i="1" l="1"/>
  <c r="H72" i="1"/>
  <c r="H58" i="1"/>
  <c r="I58" i="1"/>
  <c r="I70" i="1"/>
  <c r="H70" i="1"/>
  <c r="H61" i="1"/>
  <c r="I61" i="1"/>
  <c r="I65" i="1"/>
  <c r="H65" i="1"/>
  <c r="H73" i="1"/>
  <c r="I73" i="1"/>
  <c r="J72" i="1" s="1"/>
  <c r="K72" i="1" s="1"/>
  <c r="L72" i="1" s="1"/>
  <c r="I74" i="1"/>
  <c r="H74" i="1"/>
  <c r="I75" i="1"/>
  <c r="H75" i="1"/>
  <c r="J75" i="1" s="1"/>
  <c r="K75" i="1" s="1"/>
  <c r="L75" i="1" s="1"/>
  <c r="I59" i="1"/>
  <c r="H59" i="1"/>
  <c r="I71" i="1"/>
  <c r="H71" i="1"/>
  <c r="I60" i="1"/>
  <c r="H60" i="1"/>
  <c r="I68" i="1"/>
  <c r="H68" i="1"/>
  <c r="I66" i="1"/>
  <c r="H66" i="1"/>
  <c r="I57" i="1"/>
  <c r="H57" i="1"/>
  <c r="I67" i="1"/>
  <c r="H67" i="1"/>
  <c r="I69" i="1"/>
  <c r="H69" i="1"/>
  <c r="J69" i="1" s="1"/>
  <c r="K69" i="1" s="1"/>
  <c r="L69" i="1" s="1"/>
  <c r="H64" i="1"/>
  <c r="I64" i="1"/>
  <c r="H63" i="1"/>
  <c r="I63" i="1"/>
  <c r="I62" i="1"/>
  <c r="H62" i="1"/>
  <c r="I56" i="1"/>
  <c r="H56" i="1"/>
  <c r="J56" i="1" s="1"/>
  <c r="K56" i="1" s="1"/>
  <c r="L56" i="1" s="1"/>
  <c r="J73" i="1" l="1"/>
  <c r="K73" i="1" s="1"/>
  <c r="L73" i="1" s="1"/>
  <c r="J62" i="1"/>
  <c r="K62" i="1" s="1"/>
  <c r="L62" i="1" s="1"/>
  <c r="J71" i="1"/>
  <c r="K71" i="1" s="1"/>
  <c r="L71" i="1" s="1"/>
  <c r="J58" i="1"/>
  <c r="K58" i="1" s="1"/>
  <c r="L58" i="1" s="1"/>
  <c r="J60" i="1"/>
  <c r="K60" i="1" s="1"/>
  <c r="L60" i="1" s="1"/>
  <c r="J57" i="1"/>
  <c r="K57" i="1" s="1"/>
  <c r="L57" i="1" s="1"/>
  <c r="J74" i="1"/>
  <c r="K74" i="1" s="1"/>
  <c r="L74" i="1" s="1"/>
  <c r="J61" i="1"/>
  <c r="K61" i="1" s="1"/>
  <c r="L61" i="1" s="1"/>
  <c r="J63" i="1"/>
  <c r="K63" i="1" s="1"/>
  <c r="L63" i="1" s="1"/>
  <c r="J70" i="1"/>
  <c r="K70" i="1" s="1"/>
  <c r="L70" i="1" s="1"/>
  <c r="J59" i="1"/>
  <c r="K59" i="1" s="1"/>
  <c r="L59" i="1" s="1"/>
  <c r="J68" i="1"/>
  <c r="K68" i="1" s="1"/>
  <c r="L68" i="1" s="1"/>
  <c r="J67" i="1"/>
  <c r="K67" i="1" s="1"/>
  <c r="L67" i="1" s="1"/>
  <c r="J66" i="1"/>
  <c r="K66" i="1" s="1"/>
  <c r="L66" i="1" s="1"/>
  <c r="J65" i="1"/>
  <c r="K65" i="1" s="1"/>
  <c r="L65" i="1" s="1"/>
  <c r="J64" i="1"/>
  <c r="K64" i="1" s="1"/>
  <c r="L64" i="1" s="1"/>
  <c r="M56" i="1" l="1"/>
  <c r="M70" i="1"/>
  <c r="M67" i="1"/>
  <c r="M62" i="1"/>
  <c r="M59" i="1"/>
  <c r="M72" i="1"/>
  <c r="M66" i="1"/>
  <c r="M69" i="1"/>
  <c r="M74" i="1"/>
  <c r="M61" i="1"/>
  <c r="M58" i="1"/>
  <c r="M71" i="1"/>
  <c r="M68" i="1"/>
  <c r="M73" i="1"/>
  <c r="M63" i="1"/>
  <c r="M60" i="1"/>
  <c r="M65" i="1"/>
  <c r="M64" i="1"/>
  <c r="M75" i="1"/>
  <c r="M57" i="1"/>
</calcChain>
</file>

<file path=xl/sharedStrings.xml><?xml version="1.0" encoding="utf-8"?>
<sst xmlns="http://schemas.openxmlformats.org/spreadsheetml/2006/main" count="37" uniqueCount="18">
  <si>
    <t>Primera generación</t>
  </si>
  <si>
    <t>Complemento a 8 bits</t>
  </si>
  <si>
    <t>x</t>
  </si>
  <si>
    <t>Ordenado</t>
  </si>
  <si>
    <t>Binario</t>
  </si>
  <si>
    <t>Complemento</t>
  </si>
  <si>
    <t>Cruce</t>
  </si>
  <si>
    <t>Mutación</t>
  </si>
  <si>
    <t>Valor</t>
  </si>
  <si>
    <t>Segunda generación</t>
  </si>
  <si>
    <t>Tercera generación</t>
  </si>
  <si>
    <t>Huascar Gabriel Condori Ticona</t>
  </si>
  <si>
    <t>Estudiante:</t>
  </si>
  <si>
    <t>Ingrese una funcion:</t>
  </si>
  <si>
    <t>1+LOG10(x)^2</t>
  </si>
  <si>
    <t>LONGITUD DE CRUCE</t>
  </si>
  <si>
    <t>Bit de Mutacion</t>
  </si>
  <si>
    <t>Valores entre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</si>
</sst>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2" fontId="0" fillId="5" borderId="12" xfId="0" applyNumberFormat="1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2" fontId="0" fillId="5" borderId="6" xfId="0" applyNumberFormat="1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2" fillId="2" borderId="7" xfId="0" applyFont="1" applyFill="1" applyBorder="1"/>
    <xf numFmtId="0" fontId="0" fillId="5" borderId="21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0" fontId="2" fillId="6" borderId="25" xfId="0" applyFont="1" applyFill="1" applyBorder="1" applyAlignment="1">
      <alignment horizontal="center" vertical="center"/>
    </xf>
    <xf numFmtId="0" fontId="5" fillId="6" borderId="25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75"/>
  <sheetViews>
    <sheetView tabSelected="1" topLeftCell="A10" workbookViewId="0">
      <selection activeCell="E12" sqref="E12"/>
    </sheetView>
  </sheetViews>
  <sheetFormatPr baseColWidth="10" defaultRowHeight="14.4" x14ac:dyDescent="0.3"/>
  <cols>
    <col min="1" max="1" width="20.5546875" customWidth="1"/>
    <col min="3" max="3" width="10" customWidth="1"/>
    <col min="4" max="4" width="15.21875" style="7" hidden="1" customWidth="1"/>
    <col min="5" max="5" width="25.33203125" customWidth="1"/>
    <col min="7" max="7" width="23.109375" customWidth="1"/>
    <col min="8" max="9" width="23.109375" hidden="1" customWidth="1"/>
    <col min="10" max="10" width="20.5546875" customWidth="1"/>
    <col min="11" max="11" width="16.33203125" customWidth="1"/>
  </cols>
  <sheetData>
    <row r="1" spans="1:13" x14ac:dyDescent="0.3">
      <c r="A1" t="s">
        <v>12</v>
      </c>
      <c r="B1" t="s">
        <v>11</v>
      </c>
    </row>
    <row r="2" spans="1:13" ht="16.2" thickBot="1" x14ac:dyDescent="0.35">
      <c r="B2" s="6"/>
      <c r="C2" s="6"/>
      <c r="D2" s="8"/>
      <c r="E2" s="6"/>
      <c r="F2" s="6"/>
      <c r="G2" s="6"/>
      <c r="H2" s="6"/>
      <c r="I2" s="6"/>
      <c r="J2" s="36" t="s">
        <v>15</v>
      </c>
      <c r="K2" s="36" t="s">
        <v>16</v>
      </c>
      <c r="L2" s="6"/>
    </row>
    <row r="3" spans="1:13" ht="16.2" thickBot="1" x14ac:dyDescent="0.35">
      <c r="A3" s="36" t="s">
        <v>13</v>
      </c>
      <c r="B3" s="47" t="s">
        <v>14</v>
      </c>
      <c r="C3" s="48"/>
      <c r="D3" s="49"/>
      <c r="E3" s="50"/>
      <c r="F3" s="6"/>
      <c r="G3" s="6"/>
      <c r="H3" s="6"/>
      <c r="I3" s="6"/>
      <c r="J3" s="45">
        <v>4</v>
      </c>
      <c r="K3" s="45">
        <v>5</v>
      </c>
      <c r="L3" s="6"/>
    </row>
    <row r="4" spans="1:13" ht="15.6" x14ac:dyDescent="0.3">
      <c r="A4" s="36" t="s">
        <v>17</v>
      </c>
      <c r="B4" s="45">
        <v>1</v>
      </c>
      <c r="C4" s="45">
        <v>50</v>
      </c>
      <c r="D4" s="8"/>
      <c r="E4" s="6"/>
      <c r="F4" s="6"/>
      <c r="G4" s="6"/>
      <c r="H4" s="6"/>
      <c r="I4" s="6"/>
      <c r="J4" s="6"/>
      <c r="K4" s="6"/>
      <c r="L4" s="6"/>
    </row>
    <row r="5" spans="1:13" x14ac:dyDescent="0.3">
      <c r="B5" s="46" t="s">
        <v>0</v>
      </c>
      <c r="C5" s="46"/>
      <c r="D5" s="46"/>
      <c r="E5" s="46"/>
      <c r="F5" s="46"/>
      <c r="G5" s="46"/>
      <c r="H5" s="46"/>
      <c r="I5" s="46"/>
      <c r="J5" s="46"/>
      <c r="K5" s="46"/>
      <c r="L5" s="46"/>
    </row>
    <row r="6" spans="1:13" ht="15" thickBot="1" x14ac:dyDescent="0.35">
      <c r="B6" s="6"/>
      <c r="C6" s="6"/>
      <c r="D6" s="8"/>
      <c r="E6" s="6"/>
      <c r="F6" s="6"/>
      <c r="G6" s="6" t="s">
        <v>1</v>
      </c>
      <c r="H6" s="6"/>
      <c r="I6" s="6"/>
      <c r="J6" s="6"/>
      <c r="K6" s="6"/>
      <c r="L6" s="6"/>
    </row>
    <row r="7" spans="1:13" ht="16.2" thickBot="1" x14ac:dyDescent="0.35">
      <c r="B7" s="32" t="s">
        <v>2</v>
      </c>
      <c r="C7" s="33" t="s">
        <v>3</v>
      </c>
      <c r="D7" s="34" t="str">
        <f>CONCATENATE("f(x) = y = ",B3)</f>
        <v>f(x) = y = 1+LOG10(x)^2</v>
      </c>
      <c r="E7" s="33" t="str">
        <f>CONCATENATE("f(x) = y = ",B3)</f>
        <v>f(x) = y = 1+LOG10(x)^2</v>
      </c>
      <c r="F7" s="33" t="s">
        <v>4</v>
      </c>
      <c r="G7" s="33" t="s">
        <v>5</v>
      </c>
      <c r="H7" s="33"/>
      <c r="I7" s="33"/>
      <c r="J7" s="33" t="s">
        <v>6</v>
      </c>
      <c r="K7" s="33" t="s">
        <v>7</v>
      </c>
      <c r="L7" s="33" t="s">
        <v>8</v>
      </c>
      <c r="M7" s="35" t="s">
        <v>3</v>
      </c>
    </row>
    <row r="8" spans="1:13" x14ac:dyDescent="0.3">
      <c r="A8" s="20">
        <v>1</v>
      </c>
      <c r="B8" s="21">
        <f ca="1">RANDBETWEEN($B$4,$C$4)</f>
        <v>44</v>
      </c>
      <c r="C8" s="22">
        <f ca="1">IF(A8="","",LARGE($B$8:$B$27,A8))</f>
        <v>47</v>
      </c>
      <c r="D8" s="23" t="str">
        <f t="shared" ref="D8:D27" ca="1" si="0">CONCATENATE("=",SUBSTITUTE($B$3,"x",C8))</f>
        <v>=1+LOG10(47)^2</v>
      </c>
      <c r="E8" s="28">
        <f t="shared" ref="E8:E27" ca="1" si="1">eval(D8)</f>
        <v>3.795911246513215</v>
      </c>
      <c r="F8" s="24" t="str">
        <f ca="1">DEC2BIN(C8)</f>
        <v>101111</v>
      </c>
      <c r="G8" s="22" t="str">
        <f t="shared" ref="G8:G27" ca="1" si="2">IF(LEN(F8)=7,CONCATENATE("0",F8),IF(LEN(F8)=6,CONCATENATE("00",F8),IF(LEN(F8)=5,CONCATENATE("000",F8),IF(LEN(F8)=4,CONCATENATE("0000",F8),IF(LEN(F8)=3,CONCATENATE("000000",F8),IF(LEN(F8)=2,CONCATENATE("000000",F8),IF(LEN(F8)=1,CONCATENATE("0000000",F8),F8)))))))</f>
        <v>00101111</v>
      </c>
      <c r="H8" s="22" t="str">
        <f ca="1">MID(G8,1,$J$3)</f>
        <v>0010</v>
      </c>
      <c r="I8" s="22" t="str">
        <f ca="1">MID(G8,$J$3+1,8-$J$3)</f>
        <v>1111</v>
      </c>
      <c r="J8" s="22" t="str">
        <f ca="1">CONCATENATE(I9,H8)</f>
        <v>11000010</v>
      </c>
      <c r="K8" s="22" t="str">
        <f ca="1">REPLACE(J8,$K$3,1,IF(MID(J8,$K$3,1)="1",0,1))</f>
        <v>11001010</v>
      </c>
      <c r="L8" s="22">
        <f ca="1">BIN2DEC(K8)</f>
        <v>202</v>
      </c>
      <c r="M8" s="25">
        <f ca="1">IF(A8="","",LARGE($L$8:$L$27,A8))</f>
        <v>250</v>
      </c>
    </row>
    <row r="9" spans="1:13" x14ac:dyDescent="0.3">
      <c r="A9" s="26">
        <v>2</v>
      </c>
      <c r="B9" s="27">
        <f t="shared" ref="B9:B27" ca="1" si="3">RANDBETWEEN($B$4,$C$4)</f>
        <v>19</v>
      </c>
      <c r="C9" s="28">
        <f t="shared" ref="C9:C27" ca="1" si="4">IF(A9="","",LARGE($B$8:$B$27,A9))</f>
        <v>44</v>
      </c>
      <c r="D9" s="29" t="str">
        <f t="shared" ca="1" si="0"/>
        <v>=1+LOG10(44)^2</v>
      </c>
      <c r="E9" s="28">
        <f t="shared" ca="1" si="1"/>
        <v>3.7009366998496129</v>
      </c>
      <c r="F9" s="30" t="str">
        <f t="shared" ref="F9:F27" ca="1" si="5">DEC2BIN(C9)</f>
        <v>101100</v>
      </c>
      <c r="G9" s="28" t="str">
        <f t="shared" ca="1" si="2"/>
        <v>00101100</v>
      </c>
      <c r="H9" s="28" t="str">
        <f t="shared" ref="H9:H27" ca="1" si="6">MID(G9,1,$J$3)</f>
        <v>0010</v>
      </c>
      <c r="I9" s="28" t="str">
        <f t="shared" ref="I9:I27" ca="1" si="7">MID(G9,$J$3+1,8-$J$3)</f>
        <v>1100</v>
      </c>
      <c r="J9" s="28" t="str">
        <f ca="1">CONCATENATE(H9,I8)</f>
        <v>00101111</v>
      </c>
      <c r="K9" s="28" t="str">
        <f t="shared" ref="K9:K27" ca="1" si="8">REPLACE(J9,$K$3,1,IF(MID(J9,$K$3,1)="1",0,1))</f>
        <v>00100111</v>
      </c>
      <c r="L9" s="28">
        <f t="shared" ref="L9:L27" ca="1" si="9">BIN2DEC(K9)</f>
        <v>39</v>
      </c>
      <c r="M9" s="31">
        <f t="shared" ref="M9:M27" ca="1" si="10">IF(A9="","",LARGE($L$8:$L$27,A9))</f>
        <v>202</v>
      </c>
    </row>
    <row r="10" spans="1:13" x14ac:dyDescent="0.3">
      <c r="A10" s="1">
        <v>3</v>
      </c>
      <c r="B10" s="13">
        <f t="shared" ca="1" si="3"/>
        <v>25</v>
      </c>
      <c r="C10" s="5">
        <f t="shared" ca="1" si="4"/>
        <v>43</v>
      </c>
      <c r="D10" s="10" t="str">
        <f t="shared" ca="1" si="0"/>
        <v>=1+LOG10(43)^2</v>
      </c>
      <c r="E10" s="5">
        <f t="shared" ca="1" si="1"/>
        <v>3.6682191953735592</v>
      </c>
      <c r="F10" s="11" t="str">
        <f t="shared" ca="1" si="5"/>
        <v>101011</v>
      </c>
      <c r="G10" s="5" t="str">
        <f t="shared" ca="1" si="2"/>
        <v>00101011</v>
      </c>
      <c r="H10" s="5" t="str">
        <f t="shared" ca="1" si="6"/>
        <v>0010</v>
      </c>
      <c r="I10" s="5" t="str">
        <f t="shared" ca="1" si="7"/>
        <v>1011</v>
      </c>
      <c r="J10" s="9" t="str">
        <f ca="1">CONCATENATE(I11,H10)</f>
        <v>01010010</v>
      </c>
      <c r="K10" s="5" t="str">
        <f t="shared" ca="1" si="8"/>
        <v>01011010</v>
      </c>
      <c r="L10" s="5">
        <f t="shared" ca="1" si="9"/>
        <v>90</v>
      </c>
      <c r="M10" s="12">
        <f t="shared" ca="1" si="10"/>
        <v>153</v>
      </c>
    </row>
    <row r="11" spans="1:13" x14ac:dyDescent="0.3">
      <c r="A11" s="1">
        <v>4</v>
      </c>
      <c r="B11" s="13">
        <f t="shared" ca="1" si="3"/>
        <v>17</v>
      </c>
      <c r="C11" s="5">
        <f t="shared" ca="1" si="4"/>
        <v>37</v>
      </c>
      <c r="D11" s="10" t="str">
        <f t="shared" ca="1" si="0"/>
        <v>=1+LOG10(37)^2</v>
      </c>
      <c r="E11" s="5">
        <f t="shared" ca="1" si="1"/>
        <v>3.4592566473666957</v>
      </c>
      <c r="F11" s="11" t="str">
        <f t="shared" ca="1" si="5"/>
        <v>100101</v>
      </c>
      <c r="G11" s="5" t="str">
        <f t="shared" ca="1" si="2"/>
        <v>00100101</v>
      </c>
      <c r="H11" s="5" t="str">
        <f t="shared" ca="1" si="6"/>
        <v>0010</v>
      </c>
      <c r="I11" s="5" t="str">
        <f t="shared" ca="1" si="7"/>
        <v>0101</v>
      </c>
      <c r="J11" s="9" t="str">
        <f ca="1">CONCATENATE(H11,I10)</f>
        <v>00101011</v>
      </c>
      <c r="K11" s="5" t="str">
        <f t="shared" ca="1" si="8"/>
        <v>00100011</v>
      </c>
      <c r="L11" s="5">
        <f t="shared" ca="1" si="9"/>
        <v>35</v>
      </c>
      <c r="M11" s="12">
        <f t="shared" ca="1" si="10"/>
        <v>121</v>
      </c>
    </row>
    <row r="12" spans="1:13" x14ac:dyDescent="0.3">
      <c r="A12" s="26">
        <v>5</v>
      </c>
      <c r="B12" s="27">
        <f t="shared" ca="1" si="3"/>
        <v>21</v>
      </c>
      <c r="C12" s="28">
        <f t="shared" ca="1" si="4"/>
        <v>35</v>
      </c>
      <c r="D12" s="29" t="str">
        <f t="shared" ca="1" si="0"/>
        <v>=1+LOG10(35)^2</v>
      </c>
      <c r="E12" s="28">
        <f t="shared" ca="1" si="1"/>
        <v>3.3841461255836847</v>
      </c>
      <c r="F12" s="30" t="str">
        <f t="shared" ca="1" si="5"/>
        <v>100011</v>
      </c>
      <c r="G12" s="28" t="str">
        <f t="shared" ca="1" si="2"/>
        <v>00100011</v>
      </c>
      <c r="H12" s="28" t="str">
        <f t="shared" ca="1" si="6"/>
        <v>0010</v>
      </c>
      <c r="I12" s="28" t="str">
        <f t="shared" ca="1" si="7"/>
        <v>0011</v>
      </c>
      <c r="J12" s="28" t="str">
        <f ca="1">CONCATENATE(I13,H12)</f>
        <v>00100010</v>
      </c>
      <c r="K12" s="28" t="str">
        <f t="shared" ca="1" si="8"/>
        <v>00101010</v>
      </c>
      <c r="L12" s="28">
        <f t="shared" ca="1" si="9"/>
        <v>42</v>
      </c>
      <c r="M12" s="31">
        <f t="shared" ca="1" si="10"/>
        <v>90</v>
      </c>
    </row>
    <row r="13" spans="1:13" x14ac:dyDescent="0.3">
      <c r="A13" s="26">
        <v>6</v>
      </c>
      <c r="B13" s="27">
        <f t="shared" ca="1" si="3"/>
        <v>43</v>
      </c>
      <c r="C13" s="28">
        <f t="shared" ca="1" si="4"/>
        <v>34</v>
      </c>
      <c r="D13" s="29" t="str">
        <f t="shared" ca="1" si="0"/>
        <v>=1+LOG10(34)^2</v>
      </c>
      <c r="E13" s="28">
        <f t="shared" ca="1" si="1"/>
        <v>3.3454276733449184</v>
      </c>
      <c r="F13" s="30" t="str">
        <f t="shared" ca="1" si="5"/>
        <v>100010</v>
      </c>
      <c r="G13" s="28" t="str">
        <f t="shared" ca="1" si="2"/>
        <v>00100010</v>
      </c>
      <c r="H13" s="28" t="str">
        <f t="shared" ca="1" si="6"/>
        <v>0010</v>
      </c>
      <c r="I13" s="28" t="str">
        <f t="shared" ca="1" si="7"/>
        <v>0010</v>
      </c>
      <c r="J13" s="28" t="str">
        <f ca="1">CONCATENATE(H13,I12)</f>
        <v>00100011</v>
      </c>
      <c r="K13" s="28" t="str">
        <f t="shared" ca="1" si="8"/>
        <v>00101011</v>
      </c>
      <c r="L13" s="28">
        <f t="shared" ca="1" si="9"/>
        <v>43</v>
      </c>
      <c r="M13" s="31">
        <f t="shared" ca="1" si="10"/>
        <v>73</v>
      </c>
    </row>
    <row r="14" spans="1:13" x14ac:dyDescent="0.3">
      <c r="A14" s="1">
        <v>7</v>
      </c>
      <c r="B14" s="13">
        <f t="shared" ca="1" si="3"/>
        <v>19</v>
      </c>
      <c r="C14" s="5">
        <f t="shared" ca="1" si="4"/>
        <v>32</v>
      </c>
      <c r="D14" s="10" t="str">
        <f t="shared" ca="1" si="0"/>
        <v>=1+LOG10(32)^2</v>
      </c>
      <c r="E14" s="5">
        <f t="shared" ca="1" si="1"/>
        <v>3.2654764572364137</v>
      </c>
      <c r="F14" s="11" t="str">
        <f t="shared" ca="1" si="5"/>
        <v>100000</v>
      </c>
      <c r="G14" s="5" t="str">
        <f t="shared" ca="1" si="2"/>
        <v>00100000</v>
      </c>
      <c r="H14" s="5" t="str">
        <f t="shared" ca="1" si="6"/>
        <v>0010</v>
      </c>
      <c r="I14" s="5" t="str">
        <f t="shared" ca="1" si="7"/>
        <v>0000</v>
      </c>
      <c r="J14" s="9" t="str">
        <f ca="1">CONCATENATE(I15,H14)</f>
        <v>11110010</v>
      </c>
      <c r="K14" s="5" t="str">
        <f t="shared" ca="1" si="8"/>
        <v>11111010</v>
      </c>
      <c r="L14" s="5">
        <f t="shared" ca="1" si="9"/>
        <v>250</v>
      </c>
      <c r="M14" s="12">
        <f t="shared" ca="1" si="10"/>
        <v>57</v>
      </c>
    </row>
    <row r="15" spans="1:13" x14ac:dyDescent="0.3">
      <c r="A15" s="1">
        <v>8</v>
      </c>
      <c r="B15" s="13">
        <f t="shared" ca="1" si="3"/>
        <v>35</v>
      </c>
      <c r="C15" s="5">
        <f t="shared" ca="1" si="4"/>
        <v>31</v>
      </c>
      <c r="D15" s="10" t="str">
        <f t="shared" ca="1" si="0"/>
        <v>=1+LOG10(31)^2</v>
      </c>
      <c r="E15" s="5">
        <f t="shared" ca="1" si="1"/>
        <v>3.2241597018362307</v>
      </c>
      <c r="F15" s="11" t="str">
        <f t="shared" ca="1" si="5"/>
        <v>11111</v>
      </c>
      <c r="G15" s="5" t="str">
        <f t="shared" ca="1" si="2"/>
        <v>00011111</v>
      </c>
      <c r="H15" s="5" t="str">
        <f t="shared" ca="1" si="6"/>
        <v>0001</v>
      </c>
      <c r="I15" s="5" t="str">
        <f t="shared" ca="1" si="7"/>
        <v>1111</v>
      </c>
      <c r="J15" s="9" t="str">
        <f ca="1">CONCATENATE(H15,I14)</f>
        <v>00010000</v>
      </c>
      <c r="K15" s="5" t="str">
        <f t="shared" ca="1" si="8"/>
        <v>00011000</v>
      </c>
      <c r="L15" s="5">
        <f t="shared" ca="1" si="9"/>
        <v>24</v>
      </c>
      <c r="M15" s="12">
        <f t="shared" ca="1" si="10"/>
        <v>43</v>
      </c>
    </row>
    <row r="16" spans="1:13" x14ac:dyDescent="0.3">
      <c r="A16" s="26">
        <v>9</v>
      </c>
      <c r="B16" s="27">
        <f t="shared" ca="1" si="3"/>
        <v>47</v>
      </c>
      <c r="C16" s="28">
        <f t="shared" ca="1" si="4"/>
        <v>27</v>
      </c>
      <c r="D16" s="29" t="str">
        <f t="shared" ca="1" si="0"/>
        <v>=1+LOG10(27)^2</v>
      </c>
      <c r="E16" s="28">
        <f t="shared" ca="1" si="1"/>
        <v>3.048802225347385</v>
      </c>
      <c r="F16" s="30" t="str">
        <f t="shared" ca="1" si="5"/>
        <v>11011</v>
      </c>
      <c r="G16" s="28" t="str">
        <f t="shared" ca="1" si="2"/>
        <v>00011011</v>
      </c>
      <c r="H16" s="28" t="str">
        <f t="shared" ca="1" si="6"/>
        <v>0001</v>
      </c>
      <c r="I16" s="28" t="str">
        <f t="shared" ca="1" si="7"/>
        <v>1011</v>
      </c>
      <c r="J16" s="28" t="str">
        <f t="shared" ref="J16" ca="1" si="11">CONCATENATE(I17,H16)</f>
        <v>10010001</v>
      </c>
      <c r="K16" s="28" t="str">
        <f t="shared" ca="1" si="8"/>
        <v>10011001</v>
      </c>
      <c r="L16" s="28">
        <f t="shared" ca="1" si="9"/>
        <v>153</v>
      </c>
      <c r="M16" s="31">
        <f t="shared" ca="1" si="10"/>
        <v>42</v>
      </c>
    </row>
    <row r="17" spans="1:13" x14ac:dyDescent="0.3">
      <c r="A17" s="26">
        <v>10</v>
      </c>
      <c r="B17" s="27">
        <f t="shared" ca="1" si="3"/>
        <v>19</v>
      </c>
      <c r="C17" s="28">
        <f t="shared" ca="1" si="4"/>
        <v>25</v>
      </c>
      <c r="D17" s="29" t="str">
        <f t="shared" ca="1" si="0"/>
        <v>=1+LOG10(25)^2</v>
      </c>
      <c r="E17" s="28">
        <f t="shared" ca="1" si="1"/>
        <v>2.9542362678459768</v>
      </c>
      <c r="F17" s="30" t="str">
        <f t="shared" ca="1" si="5"/>
        <v>11001</v>
      </c>
      <c r="G17" s="28" t="str">
        <f t="shared" ca="1" si="2"/>
        <v>00011001</v>
      </c>
      <c r="H17" s="28" t="str">
        <f t="shared" ca="1" si="6"/>
        <v>0001</v>
      </c>
      <c r="I17" s="28" t="str">
        <f t="shared" ca="1" si="7"/>
        <v>1001</v>
      </c>
      <c r="J17" s="28" t="str">
        <f t="shared" ref="J17" ca="1" si="12">CONCATENATE(H17,I16)</f>
        <v>00011011</v>
      </c>
      <c r="K17" s="28" t="str">
        <f t="shared" ca="1" si="8"/>
        <v>00010011</v>
      </c>
      <c r="L17" s="28">
        <f t="shared" ca="1" si="9"/>
        <v>19</v>
      </c>
      <c r="M17" s="31">
        <f t="shared" ca="1" si="10"/>
        <v>40</v>
      </c>
    </row>
    <row r="18" spans="1:13" x14ac:dyDescent="0.3">
      <c r="A18" s="1">
        <v>11</v>
      </c>
      <c r="B18" s="13">
        <f t="shared" ca="1" si="3"/>
        <v>32</v>
      </c>
      <c r="C18" s="5">
        <f t="shared" ca="1" si="4"/>
        <v>24</v>
      </c>
      <c r="D18" s="10" t="str">
        <f t="shared" ca="1" si="0"/>
        <v>=1+LOG10(24)^2</v>
      </c>
      <c r="E18" s="5">
        <f t="shared" ca="1" si="1"/>
        <v>2.9049830717470932</v>
      </c>
      <c r="F18" s="11" t="str">
        <f ca="1">DEC2BIN(C18)</f>
        <v>11000</v>
      </c>
      <c r="G18" s="5" t="str">
        <f t="shared" ca="1" si="2"/>
        <v>00011000</v>
      </c>
      <c r="H18" s="5" t="str">
        <f t="shared" ca="1" si="6"/>
        <v>0001</v>
      </c>
      <c r="I18" s="5" t="str">
        <f t="shared" ca="1" si="7"/>
        <v>1000</v>
      </c>
      <c r="J18" s="9" t="str">
        <f t="shared" ref="J18" ca="1" si="13">CONCATENATE(I19,H18)</f>
        <v>01110001</v>
      </c>
      <c r="K18" s="5" t="str">
        <f t="shared" ca="1" si="8"/>
        <v>01111001</v>
      </c>
      <c r="L18" s="5">
        <f t="shared" ca="1" si="9"/>
        <v>121</v>
      </c>
      <c r="M18" s="12">
        <f t="shared" ca="1" si="10"/>
        <v>39</v>
      </c>
    </row>
    <row r="19" spans="1:13" x14ac:dyDescent="0.3">
      <c r="A19" s="1">
        <v>12</v>
      </c>
      <c r="B19" s="13">
        <f t="shared" ca="1" si="3"/>
        <v>27</v>
      </c>
      <c r="C19" s="5">
        <f t="shared" ca="1" si="4"/>
        <v>23</v>
      </c>
      <c r="D19" s="10" t="str">
        <f t="shared" ca="1" si="0"/>
        <v>=1+LOG10(23)^2</v>
      </c>
      <c r="E19" s="5">
        <f t="shared" ca="1" si="1"/>
        <v>2.8543026993851561</v>
      </c>
      <c r="F19" s="11" t="str">
        <f t="shared" ca="1" si="5"/>
        <v>10111</v>
      </c>
      <c r="G19" s="5" t="str">
        <f t="shared" ca="1" si="2"/>
        <v>00010111</v>
      </c>
      <c r="H19" s="5" t="str">
        <f t="shared" ca="1" si="6"/>
        <v>0001</v>
      </c>
      <c r="I19" s="5" t="str">
        <f t="shared" ca="1" si="7"/>
        <v>0111</v>
      </c>
      <c r="J19" s="9" t="str">
        <f t="shared" ref="J19" ca="1" si="14">CONCATENATE(H19,I18)</f>
        <v>00011000</v>
      </c>
      <c r="K19" s="5" t="str">
        <f t="shared" ca="1" si="8"/>
        <v>00010000</v>
      </c>
      <c r="L19" s="5">
        <f t="shared" ca="1" si="9"/>
        <v>16</v>
      </c>
      <c r="M19" s="12">
        <f t="shared" ca="1" si="10"/>
        <v>35</v>
      </c>
    </row>
    <row r="20" spans="1:13" x14ac:dyDescent="0.3">
      <c r="A20" s="26">
        <v>13</v>
      </c>
      <c r="B20" s="27">
        <f t="shared" ca="1" si="3"/>
        <v>37</v>
      </c>
      <c r="C20" s="28">
        <f t="shared" ca="1" si="4"/>
        <v>21</v>
      </c>
      <c r="D20" s="29" t="str">
        <f t="shared" ca="1" si="0"/>
        <v>=1+LOG10(21)^2</v>
      </c>
      <c r="E20" s="28">
        <f t="shared" ca="1" si="1"/>
        <v>2.7482638633666632</v>
      </c>
      <c r="F20" s="30" t="str">
        <f t="shared" ca="1" si="5"/>
        <v>10101</v>
      </c>
      <c r="G20" s="28" t="str">
        <f t="shared" ca="1" si="2"/>
        <v>00010101</v>
      </c>
      <c r="H20" s="28" t="str">
        <f t="shared" ca="1" si="6"/>
        <v>0001</v>
      </c>
      <c r="I20" s="28" t="str">
        <f t="shared" ca="1" si="7"/>
        <v>0101</v>
      </c>
      <c r="J20" s="28" t="str">
        <f t="shared" ref="J20" ca="1" si="15">CONCATENATE(I21,H20)</f>
        <v>01000001</v>
      </c>
      <c r="K20" s="28" t="str">
        <f t="shared" ca="1" si="8"/>
        <v>01001001</v>
      </c>
      <c r="L20" s="28">
        <f t="shared" ca="1" si="9"/>
        <v>73</v>
      </c>
      <c r="M20" s="31">
        <f t="shared" ca="1" si="10"/>
        <v>29</v>
      </c>
    </row>
    <row r="21" spans="1:13" x14ac:dyDescent="0.3">
      <c r="A21" s="26">
        <v>14</v>
      </c>
      <c r="B21" s="27">
        <f t="shared" ca="1" si="3"/>
        <v>4</v>
      </c>
      <c r="C21" s="28">
        <f t="shared" ca="1" si="4"/>
        <v>20</v>
      </c>
      <c r="D21" s="29" t="str">
        <f t="shared" ca="1" si="0"/>
        <v>=1+LOG10(20)^2</v>
      </c>
      <c r="E21" s="28">
        <f t="shared" ca="1" si="1"/>
        <v>2.6926790496174191</v>
      </c>
      <c r="F21" s="30" t="str">
        <f t="shared" ca="1" si="5"/>
        <v>10100</v>
      </c>
      <c r="G21" s="28" t="str">
        <f t="shared" ca="1" si="2"/>
        <v>00010100</v>
      </c>
      <c r="H21" s="28" t="str">
        <f t="shared" ca="1" si="6"/>
        <v>0001</v>
      </c>
      <c r="I21" s="28" t="str">
        <f t="shared" ca="1" si="7"/>
        <v>0100</v>
      </c>
      <c r="J21" s="28" t="str">
        <f t="shared" ref="J21" ca="1" si="16">CONCATENATE(H21,I20)</f>
        <v>00010101</v>
      </c>
      <c r="K21" s="28" t="str">
        <f t="shared" ca="1" si="8"/>
        <v>00011101</v>
      </c>
      <c r="L21" s="28">
        <f t="shared" ca="1" si="9"/>
        <v>29</v>
      </c>
      <c r="M21" s="31">
        <f t="shared" ca="1" si="10"/>
        <v>27</v>
      </c>
    </row>
    <row r="22" spans="1:13" x14ac:dyDescent="0.3">
      <c r="A22" s="1">
        <v>15</v>
      </c>
      <c r="B22" s="13">
        <f t="shared" ca="1" si="3"/>
        <v>31</v>
      </c>
      <c r="C22" s="5">
        <f t="shared" ca="1" si="4"/>
        <v>19</v>
      </c>
      <c r="D22" s="10" t="str">
        <f t="shared" ca="1" si="0"/>
        <v>=1+LOG10(19)^2</v>
      </c>
      <c r="E22" s="5">
        <f t="shared" ca="1" si="1"/>
        <v>2.6352107719498266</v>
      </c>
      <c r="F22" s="11" t="str">
        <f t="shared" ca="1" si="5"/>
        <v>10011</v>
      </c>
      <c r="G22" s="5" t="str">
        <f t="shared" ca="1" si="2"/>
        <v>00010011</v>
      </c>
      <c r="H22" s="5" t="str">
        <f t="shared" ca="1" si="6"/>
        <v>0001</v>
      </c>
      <c r="I22" s="5" t="str">
        <f t="shared" ca="1" si="7"/>
        <v>0011</v>
      </c>
      <c r="J22" s="9" t="str">
        <f t="shared" ref="J22" ca="1" si="17">CONCATENATE(I23,H22)</f>
        <v>00110001</v>
      </c>
      <c r="K22" s="5" t="str">
        <f t="shared" ca="1" si="8"/>
        <v>00111001</v>
      </c>
      <c r="L22" s="5">
        <f t="shared" ca="1" si="9"/>
        <v>57</v>
      </c>
      <c r="M22" s="12">
        <f t="shared" ca="1" si="10"/>
        <v>27</v>
      </c>
    </row>
    <row r="23" spans="1:13" x14ac:dyDescent="0.3">
      <c r="A23" s="1">
        <v>16</v>
      </c>
      <c r="B23" s="13">
        <f t="shared" ca="1" si="3"/>
        <v>20</v>
      </c>
      <c r="C23" s="5">
        <f t="shared" ca="1" si="4"/>
        <v>19</v>
      </c>
      <c r="D23" s="10" t="str">
        <f t="shared" ca="1" si="0"/>
        <v>=1+LOG10(19)^2</v>
      </c>
      <c r="E23" s="5">
        <f t="shared" ca="1" si="1"/>
        <v>2.6352107719498266</v>
      </c>
      <c r="F23" s="11" t="str">
        <f t="shared" ca="1" si="5"/>
        <v>10011</v>
      </c>
      <c r="G23" s="5" t="str">
        <f t="shared" ca="1" si="2"/>
        <v>00010011</v>
      </c>
      <c r="H23" s="5" t="str">
        <f t="shared" ca="1" si="6"/>
        <v>0001</v>
      </c>
      <c r="I23" s="5" t="str">
        <f t="shared" ca="1" si="7"/>
        <v>0011</v>
      </c>
      <c r="J23" s="9" t="str">
        <f t="shared" ref="J23" ca="1" si="18">CONCATENATE(H23,I22)</f>
        <v>00010011</v>
      </c>
      <c r="K23" s="5" t="str">
        <f t="shared" ca="1" si="8"/>
        <v>00011011</v>
      </c>
      <c r="L23" s="5">
        <f t="shared" ca="1" si="9"/>
        <v>27</v>
      </c>
      <c r="M23" s="12">
        <f t="shared" ca="1" si="10"/>
        <v>25</v>
      </c>
    </row>
    <row r="24" spans="1:13" x14ac:dyDescent="0.3">
      <c r="A24" s="26">
        <v>17</v>
      </c>
      <c r="B24" s="27">
        <f t="shared" ca="1" si="3"/>
        <v>34</v>
      </c>
      <c r="C24" s="28">
        <f t="shared" ca="1" si="4"/>
        <v>19</v>
      </c>
      <c r="D24" s="29" t="str">
        <f t="shared" ca="1" si="0"/>
        <v>=1+LOG10(19)^2</v>
      </c>
      <c r="E24" s="28">
        <f t="shared" ca="1" si="1"/>
        <v>2.6352107719498266</v>
      </c>
      <c r="F24" s="30" t="str">
        <f t="shared" ca="1" si="5"/>
        <v>10011</v>
      </c>
      <c r="G24" s="28" t="str">
        <f t="shared" ca="1" si="2"/>
        <v>00010011</v>
      </c>
      <c r="H24" s="28" t="str">
        <f t="shared" ca="1" si="6"/>
        <v>0001</v>
      </c>
      <c r="I24" s="28" t="str">
        <f t="shared" ca="1" si="7"/>
        <v>0011</v>
      </c>
      <c r="J24" s="28" t="str">
        <f t="shared" ref="J24" ca="1" si="19">CONCATENATE(I25,H24)</f>
        <v>00010001</v>
      </c>
      <c r="K24" s="28" t="str">
        <f t="shared" ca="1" si="8"/>
        <v>00011001</v>
      </c>
      <c r="L24" s="28">
        <f t="shared" ca="1" si="9"/>
        <v>25</v>
      </c>
      <c r="M24" s="31">
        <f t="shared" ca="1" si="10"/>
        <v>24</v>
      </c>
    </row>
    <row r="25" spans="1:13" x14ac:dyDescent="0.3">
      <c r="A25" s="26">
        <v>18</v>
      </c>
      <c r="B25" s="27">
        <f t="shared" ca="1" si="3"/>
        <v>24</v>
      </c>
      <c r="C25" s="28">
        <f t="shared" ca="1" si="4"/>
        <v>17</v>
      </c>
      <c r="D25" s="29" t="str">
        <f t="shared" ca="1" si="0"/>
        <v>=1+LOG10(17)^2</v>
      </c>
      <c r="E25" s="28">
        <f t="shared" ca="1" si="1"/>
        <v>2.5140045481209574</v>
      </c>
      <c r="F25" s="30" t="str">
        <f t="shared" ca="1" si="5"/>
        <v>10001</v>
      </c>
      <c r="G25" s="28" t="str">
        <f t="shared" ca="1" si="2"/>
        <v>00010001</v>
      </c>
      <c r="H25" s="28" t="str">
        <f t="shared" ca="1" si="6"/>
        <v>0001</v>
      </c>
      <c r="I25" s="28" t="str">
        <f t="shared" ca="1" si="7"/>
        <v>0001</v>
      </c>
      <c r="J25" s="28" t="str">
        <f t="shared" ref="J25" ca="1" si="20">CONCATENATE(H25,I24)</f>
        <v>00010011</v>
      </c>
      <c r="K25" s="28" t="str">
        <f t="shared" ca="1" si="8"/>
        <v>00011011</v>
      </c>
      <c r="L25" s="28">
        <f t="shared" ca="1" si="9"/>
        <v>27</v>
      </c>
      <c r="M25" s="31">
        <f t="shared" ca="1" si="10"/>
        <v>19</v>
      </c>
    </row>
    <row r="26" spans="1:13" x14ac:dyDescent="0.3">
      <c r="A26" s="1">
        <v>19</v>
      </c>
      <c r="B26" s="13">
        <f t="shared" ca="1" si="3"/>
        <v>5</v>
      </c>
      <c r="C26" s="5">
        <f t="shared" ca="1" si="4"/>
        <v>5</v>
      </c>
      <c r="D26" s="10" t="str">
        <f t="shared" ca="1" si="0"/>
        <v>=1+LOG10(5)^2</v>
      </c>
      <c r="E26" s="5">
        <f t="shared" ca="1" si="1"/>
        <v>1.4885590669614941</v>
      </c>
      <c r="F26" s="11" t="str">
        <f t="shared" ca="1" si="5"/>
        <v>101</v>
      </c>
      <c r="G26" s="5" t="str">
        <f t="shared" ca="1" si="2"/>
        <v>000000101</v>
      </c>
      <c r="H26" s="5" t="str">
        <f t="shared" ca="1" si="6"/>
        <v>0000</v>
      </c>
      <c r="I26" s="5" t="str">
        <f t="shared" ca="1" si="7"/>
        <v>0010</v>
      </c>
      <c r="J26" s="9" t="str">
        <f t="shared" ref="J26" ca="1" si="21">CONCATENATE(I27,H26)</f>
        <v>00100000</v>
      </c>
      <c r="K26" s="5" t="str">
        <f t="shared" ca="1" si="8"/>
        <v>00101000</v>
      </c>
      <c r="L26" s="5">
        <f t="shared" ca="1" si="9"/>
        <v>40</v>
      </c>
      <c r="M26" s="12">
        <f t="shared" ca="1" si="10"/>
        <v>16</v>
      </c>
    </row>
    <row r="27" spans="1:13" ht="15" thickBot="1" x14ac:dyDescent="0.35">
      <c r="A27" s="2">
        <v>20</v>
      </c>
      <c r="B27" s="14">
        <f t="shared" ca="1" si="3"/>
        <v>23</v>
      </c>
      <c r="C27" s="15">
        <f t="shared" ca="1" si="4"/>
        <v>4</v>
      </c>
      <c r="D27" s="16" t="str">
        <f t="shared" ca="1" si="0"/>
        <v>=1+LOG10(4)^2</v>
      </c>
      <c r="E27" s="15">
        <f t="shared" ca="1" si="1"/>
        <v>1.3624762331578262</v>
      </c>
      <c r="F27" s="17" t="str">
        <f t="shared" ca="1" si="5"/>
        <v>100</v>
      </c>
      <c r="G27" s="15" t="str">
        <f t="shared" ca="1" si="2"/>
        <v>000000100</v>
      </c>
      <c r="H27" s="15" t="str">
        <f t="shared" ca="1" si="6"/>
        <v>0000</v>
      </c>
      <c r="I27" s="15" t="str">
        <f t="shared" ca="1" si="7"/>
        <v>0010</v>
      </c>
      <c r="J27" s="18" t="str">
        <f t="shared" ref="J27" ca="1" si="22">CONCATENATE(H27,I26)</f>
        <v>00000010</v>
      </c>
      <c r="K27" s="15" t="str">
        <f t="shared" ca="1" si="8"/>
        <v>00001010</v>
      </c>
      <c r="L27" s="15">
        <f t="shared" ca="1" si="9"/>
        <v>10</v>
      </c>
      <c r="M27" s="19">
        <f t="shared" ca="1" si="10"/>
        <v>10</v>
      </c>
    </row>
    <row r="28" spans="1:13" x14ac:dyDescent="0.3">
      <c r="A28" s="3"/>
      <c r="B28" s="4"/>
      <c r="C28" s="3"/>
      <c r="D28" s="8"/>
      <c r="E28" s="3"/>
      <c r="F28" s="3"/>
      <c r="G28" s="3"/>
      <c r="H28" s="6"/>
      <c r="I28" s="6"/>
      <c r="J28" s="3"/>
      <c r="K28" s="3"/>
      <c r="L28" s="3"/>
    </row>
    <row r="29" spans="1:13" x14ac:dyDescent="0.3">
      <c r="B29" s="46" t="s">
        <v>9</v>
      </c>
      <c r="C29" s="46"/>
      <c r="D29" s="46"/>
      <c r="E29" s="46"/>
      <c r="F29" s="46"/>
      <c r="G29" s="46"/>
      <c r="H29" s="46"/>
      <c r="I29" s="46"/>
      <c r="J29" s="46"/>
      <c r="K29" s="46"/>
      <c r="L29" s="46"/>
    </row>
    <row r="30" spans="1:13" ht="15" thickBot="1" x14ac:dyDescent="0.35">
      <c r="B30" s="6"/>
      <c r="C30" s="6"/>
      <c r="D30" s="8"/>
      <c r="E30" s="6"/>
      <c r="F30" s="6"/>
      <c r="G30" s="6" t="s">
        <v>1</v>
      </c>
      <c r="H30" s="6"/>
      <c r="I30" s="6"/>
      <c r="J30" s="6"/>
      <c r="K30" s="6"/>
      <c r="L30" s="6"/>
    </row>
    <row r="31" spans="1:13" ht="16.2" thickBot="1" x14ac:dyDescent="0.35">
      <c r="B31" s="41" t="s">
        <v>2</v>
      </c>
      <c r="C31" s="42" t="s">
        <v>3</v>
      </c>
      <c r="D31" s="43" t="str">
        <f ca="1">CONCATENATE("f(x) = y = ",B27)</f>
        <v>f(x) = y = 23</v>
      </c>
      <c r="E31" s="42" t="str">
        <f>CONCATENATE("f(x) = y = ",$B$3)</f>
        <v>f(x) = y = 1+LOG10(x)^2</v>
      </c>
      <c r="F31" s="42" t="s">
        <v>4</v>
      </c>
      <c r="G31" s="42" t="s">
        <v>5</v>
      </c>
      <c r="H31" s="42"/>
      <c r="I31" s="42"/>
      <c r="J31" s="42" t="s">
        <v>6</v>
      </c>
      <c r="K31" s="42" t="s">
        <v>7</v>
      </c>
      <c r="L31" s="42" t="s">
        <v>8</v>
      </c>
      <c r="M31" s="44" t="s">
        <v>3</v>
      </c>
    </row>
    <row r="32" spans="1:13" x14ac:dyDescent="0.3">
      <c r="A32" s="37">
        <v>1</v>
      </c>
      <c r="B32" s="28">
        <f ca="1">M8</f>
        <v>250</v>
      </c>
      <c r="C32" s="28">
        <f ca="1">IF(A32="","",LARGE($B$32:$B$51,A32))</f>
        <v>250</v>
      </c>
      <c r="D32" s="29" t="str">
        <f t="shared" ref="D32:D51" ca="1" si="23">CONCATENATE("=",SUBSTITUTE($B$3,"x",C32))</f>
        <v>=1+LOG10(250)^2</v>
      </c>
      <c r="E32" s="28">
        <f t="shared" ref="E32:E51" ca="1" si="24">eval(D32)</f>
        <v>6.7501162851900514</v>
      </c>
      <c r="F32" s="30" t="str">
        <f ca="1">DEC2BIN(C32)</f>
        <v>11111010</v>
      </c>
      <c r="G32" s="28" t="str">
        <f t="shared" ref="G32:G51" ca="1" si="25">IF(LEN(F32)=7,CONCATENATE("0",F32),IF(LEN(F32)=6,CONCATENATE("00",F32),IF(LEN(F32)=5,CONCATENATE("000",F32),IF(LEN(F32)=4,CONCATENATE("0000",F32),IF(LEN(F32)=3,CONCATENATE("000000",F32),IF(LEN(F32)=2,CONCATENATE("000000",F32),IF(LEN(F32)=1,CONCATENATE("0000000",F32),F32)))))))</f>
        <v>11111010</v>
      </c>
      <c r="H32" s="28" t="str">
        <f ca="1">MID(G32,1,$J$3)</f>
        <v>1111</v>
      </c>
      <c r="I32" s="28" t="str">
        <f ca="1">MID(G32,$J$3+1,8-$J$3)</f>
        <v>1010</v>
      </c>
      <c r="J32" s="28" t="str">
        <f ca="1">CONCATENATE(I33,H32)</f>
        <v>10101111</v>
      </c>
      <c r="K32" s="28" t="str">
        <f ca="1">REPLACE(J32,$K$3,1,IF(MID(J32,$K$3,1)="1",0,1))</f>
        <v>10100111</v>
      </c>
      <c r="L32" s="28">
        <f ca="1">BIN2DEC(K32)</f>
        <v>167</v>
      </c>
      <c r="M32" s="28">
        <f ca="1">IF(A32="","",LARGE($L$32:$L$51,A32))</f>
        <v>194</v>
      </c>
    </row>
    <row r="33" spans="1:13" x14ac:dyDescent="0.3">
      <c r="A33" s="38">
        <v>2</v>
      </c>
      <c r="B33" s="28">
        <f t="shared" ref="B33:B51" ca="1" si="26">M9</f>
        <v>202</v>
      </c>
      <c r="C33" s="28">
        <f t="shared" ref="C33:C51" ca="1" si="27">IF(A33="","",LARGE($B$32:$B$51,A33))</f>
        <v>202</v>
      </c>
      <c r="D33" s="29" t="str">
        <f t="shared" ca="1" si="23"/>
        <v>=1+LOG10(202)^2</v>
      </c>
      <c r="E33" s="28">
        <f t="shared" ca="1" si="24"/>
        <v>6.3146449366094242</v>
      </c>
      <c r="F33" s="30" t="str">
        <f t="shared" ref="F33:F41" ca="1" si="28">DEC2BIN(C33)</f>
        <v>11001010</v>
      </c>
      <c r="G33" s="28" t="str">
        <f t="shared" ca="1" si="25"/>
        <v>11001010</v>
      </c>
      <c r="H33" s="28" t="str">
        <f t="shared" ref="H33:H51" ca="1" si="29">MID(G33,1,$J$3)</f>
        <v>1100</v>
      </c>
      <c r="I33" s="28" t="str">
        <f t="shared" ref="I33:I51" ca="1" si="30">MID(G33,$J$3+1,8-$J$3)</f>
        <v>1010</v>
      </c>
      <c r="J33" s="28" t="str">
        <f ca="1">CONCATENATE(H33,I32)</f>
        <v>11001010</v>
      </c>
      <c r="K33" s="28" t="str">
        <f t="shared" ref="K33:K51" ca="1" si="31">REPLACE(J33,$K$3,1,IF(MID(J33,$K$3,1)="1",0,1))</f>
        <v>11000010</v>
      </c>
      <c r="L33" s="28">
        <f t="shared" ref="L33:L51" ca="1" si="32">BIN2DEC(K33)</f>
        <v>194</v>
      </c>
      <c r="M33" s="28">
        <f t="shared" ref="M33:M51" ca="1" si="33">IF(A33="","",LARGE($L$32:$L$51,A33))</f>
        <v>187</v>
      </c>
    </row>
    <row r="34" spans="1:13" x14ac:dyDescent="0.3">
      <c r="A34" s="39">
        <v>3</v>
      </c>
      <c r="B34" s="28">
        <f t="shared" ca="1" si="26"/>
        <v>153</v>
      </c>
      <c r="C34" s="28">
        <f t="shared" ca="1" si="27"/>
        <v>153</v>
      </c>
      <c r="D34" s="10" t="str">
        <f t="shared" ca="1" si="23"/>
        <v>=1+LOG10(153)^2</v>
      </c>
      <c r="E34" s="5">
        <f t="shared" ca="1" si="24"/>
        <v>5.7728766478878475</v>
      </c>
      <c r="F34" s="11" t="str">
        <f t="shared" ca="1" si="28"/>
        <v>10011001</v>
      </c>
      <c r="G34" s="5" t="str">
        <f t="shared" ca="1" si="25"/>
        <v>10011001</v>
      </c>
      <c r="H34" s="5" t="str">
        <f t="shared" ca="1" si="29"/>
        <v>1001</v>
      </c>
      <c r="I34" s="5" t="str">
        <f t="shared" ca="1" si="30"/>
        <v>1001</v>
      </c>
      <c r="J34" s="9" t="str">
        <f ca="1">CONCATENATE(I35,H34)</f>
        <v>10011001</v>
      </c>
      <c r="K34" s="5" t="str">
        <f t="shared" ca="1" si="31"/>
        <v>10010001</v>
      </c>
      <c r="L34" s="5">
        <f t="shared" ca="1" si="32"/>
        <v>145</v>
      </c>
      <c r="M34" s="28">
        <f t="shared" ca="1" si="33"/>
        <v>185</v>
      </c>
    </row>
    <row r="35" spans="1:13" x14ac:dyDescent="0.3">
      <c r="A35" s="39">
        <v>4</v>
      </c>
      <c r="B35" s="28">
        <f t="shared" ca="1" si="26"/>
        <v>121</v>
      </c>
      <c r="C35" s="28">
        <f t="shared" ca="1" si="27"/>
        <v>121</v>
      </c>
      <c r="D35" s="10" t="str">
        <f t="shared" ca="1" si="23"/>
        <v>=1+LOG10(121)^2</v>
      </c>
      <c r="E35" s="5">
        <f t="shared" ca="1" si="24"/>
        <v>5.3379948988042329</v>
      </c>
      <c r="F35" s="11" t="str">
        <f t="shared" ca="1" si="28"/>
        <v>1111001</v>
      </c>
      <c r="G35" s="5" t="str">
        <f t="shared" ca="1" si="25"/>
        <v>01111001</v>
      </c>
      <c r="H35" s="5" t="str">
        <f t="shared" ca="1" si="29"/>
        <v>0111</v>
      </c>
      <c r="I35" s="5" t="str">
        <f t="shared" ca="1" si="30"/>
        <v>1001</v>
      </c>
      <c r="J35" s="9" t="str">
        <f ca="1">CONCATENATE(H35,I34)</f>
        <v>01111001</v>
      </c>
      <c r="K35" s="5" t="str">
        <f t="shared" ca="1" si="31"/>
        <v>01110001</v>
      </c>
      <c r="L35" s="5">
        <f t="shared" ca="1" si="32"/>
        <v>113</v>
      </c>
      <c r="M35" s="28">
        <f t="shared" ca="1" si="33"/>
        <v>169</v>
      </c>
    </row>
    <row r="36" spans="1:13" x14ac:dyDescent="0.3">
      <c r="A36" s="38">
        <v>5</v>
      </c>
      <c r="B36" s="28">
        <f t="shared" ca="1" si="26"/>
        <v>90</v>
      </c>
      <c r="C36" s="28">
        <f t="shared" ca="1" si="27"/>
        <v>90</v>
      </c>
      <c r="D36" s="29" t="str">
        <f t="shared" ca="1" si="23"/>
        <v>=1+LOG10(90)^2</v>
      </c>
      <c r="E36" s="28">
        <f t="shared" ca="1" si="24"/>
        <v>4.8190637856997096</v>
      </c>
      <c r="F36" s="30" t="str">
        <f t="shared" ca="1" si="28"/>
        <v>1011010</v>
      </c>
      <c r="G36" s="28" t="str">
        <f t="shared" ca="1" si="25"/>
        <v>01011010</v>
      </c>
      <c r="H36" s="28" t="str">
        <f t="shared" ca="1" si="29"/>
        <v>0101</v>
      </c>
      <c r="I36" s="28" t="str">
        <f t="shared" ca="1" si="30"/>
        <v>1010</v>
      </c>
      <c r="J36" s="28" t="str">
        <f ca="1">CONCATENATE(I37,H36)</f>
        <v>10010101</v>
      </c>
      <c r="K36" s="28" t="str">
        <f t="shared" ca="1" si="31"/>
        <v>10011101</v>
      </c>
      <c r="L36" s="28">
        <f t="shared" ca="1" si="32"/>
        <v>157</v>
      </c>
      <c r="M36" s="28">
        <f t="shared" ca="1" si="33"/>
        <v>167</v>
      </c>
    </row>
    <row r="37" spans="1:13" x14ac:dyDescent="0.3">
      <c r="A37" s="38">
        <v>6</v>
      </c>
      <c r="B37" s="28">
        <f t="shared" ca="1" si="26"/>
        <v>73</v>
      </c>
      <c r="C37" s="28">
        <f t="shared" ca="1" si="27"/>
        <v>73</v>
      </c>
      <c r="D37" s="29" t="str">
        <f t="shared" ca="1" si="23"/>
        <v>=1+LOG10(73)^2</v>
      </c>
      <c r="E37" s="28">
        <f t="shared" ca="1" si="24"/>
        <v>4.4719720810474755</v>
      </c>
      <c r="F37" s="30" t="str">
        <f t="shared" ca="1" si="28"/>
        <v>1001001</v>
      </c>
      <c r="G37" s="28" t="str">
        <f t="shared" ca="1" si="25"/>
        <v>01001001</v>
      </c>
      <c r="H37" s="28" t="str">
        <f t="shared" ca="1" si="29"/>
        <v>0100</v>
      </c>
      <c r="I37" s="28" t="str">
        <f t="shared" ca="1" si="30"/>
        <v>1001</v>
      </c>
      <c r="J37" s="28" t="str">
        <f ca="1">CONCATENATE(H37,I36)</f>
        <v>01001010</v>
      </c>
      <c r="K37" s="28" t="str">
        <f t="shared" ca="1" si="31"/>
        <v>01000010</v>
      </c>
      <c r="L37" s="28">
        <f t="shared" ca="1" si="32"/>
        <v>66</v>
      </c>
      <c r="M37" s="28">
        <f t="shared" ca="1" si="33"/>
        <v>157</v>
      </c>
    </row>
    <row r="38" spans="1:13" x14ac:dyDescent="0.3">
      <c r="A38" s="39">
        <v>7</v>
      </c>
      <c r="B38" s="28">
        <f t="shared" ca="1" si="26"/>
        <v>57</v>
      </c>
      <c r="C38" s="28">
        <f t="shared" ca="1" si="27"/>
        <v>57</v>
      </c>
      <c r="D38" s="10" t="str">
        <f t="shared" ca="1" si="23"/>
        <v>=1+LOG10(57)^2</v>
      </c>
      <c r="E38" s="5">
        <f t="shared" ca="1" si="24"/>
        <v>4.0830965087828925</v>
      </c>
      <c r="F38" s="11" t="str">
        <f t="shared" ca="1" si="28"/>
        <v>111001</v>
      </c>
      <c r="G38" s="5" t="str">
        <f t="shared" ca="1" si="25"/>
        <v>00111001</v>
      </c>
      <c r="H38" s="5" t="str">
        <f t="shared" ca="1" si="29"/>
        <v>0011</v>
      </c>
      <c r="I38" s="5" t="str">
        <f t="shared" ca="1" si="30"/>
        <v>1001</v>
      </c>
      <c r="J38" s="9" t="str">
        <f ca="1">CONCATENATE(I39,H38)</f>
        <v>10110011</v>
      </c>
      <c r="K38" s="5" t="str">
        <f t="shared" ca="1" si="31"/>
        <v>10111011</v>
      </c>
      <c r="L38" s="5">
        <f t="shared" ca="1" si="32"/>
        <v>187</v>
      </c>
      <c r="M38" s="28">
        <f t="shared" ca="1" si="33"/>
        <v>153</v>
      </c>
    </row>
    <row r="39" spans="1:13" x14ac:dyDescent="0.3">
      <c r="A39" s="39">
        <v>8</v>
      </c>
      <c r="B39" s="28">
        <f t="shared" ca="1" si="26"/>
        <v>43</v>
      </c>
      <c r="C39" s="28">
        <f t="shared" ca="1" si="27"/>
        <v>43</v>
      </c>
      <c r="D39" s="10" t="str">
        <f t="shared" ca="1" si="23"/>
        <v>=1+LOG10(43)^2</v>
      </c>
      <c r="E39" s="5">
        <f t="shared" ca="1" si="24"/>
        <v>3.6682191953735592</v>
      </c>
      <c r="F39" s="11" t="str">
        <f t="shared" ca="1" si="28"/>
        <v>101011</v>
      </c>
      <c r="G39" s="5" t="str">
        <f t="shared" ca="1" si="25"/>
        <v>00101011</v>
      </c>
      <c r="H39" s="5" t="str">
        <f t="shared" ca="1" si="29"/>
        <v>0010</v>
      </c>
      <c r="I39" s="5" t="str">
        <f t="shared" ca="1" si="30"/>
        <v>1011</v>
      </c>
      <c r="J39" s="9" t="str">
        <f ca="1">CONCATENATE(H39,I38)</f>
        <v>00101001</v>
      </c>
      <c r="K39" s="5" t="str">
        <f t="shared" ca="1" si="31"/>
        <v>00100001</v>
      </c>
      <c r="L39" s="5">
        <f t="shared" ca="1" si="32"/>
        <v>33</v>
      </c>
      <c r="M39" s="28">
        <f t="shared" ca="1" si="33"/>
        <v>145</v>
      </c>
    </row>
    <row r="40" spans="1:13" x14ac:dyDescent="0.3">
      <c r="A40" s="38">
        <v>9</v>
      </c>
      <c r="B40" s="28">
        <f t="shared" ca="1" si="26"/>
        <v>42</v>
      </c>
      <c r="C40" s="28">
        <f t="shared" ca="1" si="27"/>
        <v>42</v>
      </c>
      <c r="D40" s="29" t="str">
        <f t="shared" ca="1" si="23"/>
        <v>=1+LOG10(42)^2</v>
      </c>
      <c r="E40" s="28">
        <f t="shared" ca="1" si="24"/>
        <v>3.6349382587772876</v>
      </c>
      <c r="F40" s="30" t="str">
        <f t="shared" ca="1" si="28"/>
        <v>101010</v>
      </c>
      <c r="G40" s="28" t="str">
        <f t="shared" ca="1" si="25"/>
        <v>00101010</v>
      </c>
      <c r="H40" s="28" t="str">
        <f t="shared" ca="1" si="29"/>
        <v>0010</v>
      </c>
      <c r="I40" s="28" t="str">
        <f t="shared" ca="1" si="30"/>
        <v>1010</v>
      </c>
      <c r="J40" s="28" t="str">
        <f t="shared" ref="J40" ca="1" si="34">CONCATENATE(I41,H40)</f>
        <v>10000010</v>
      </c>
      <c r="K40" s="28" t="str">
        <f t="shared" ca="1" si="31"/>
        <v>10001010</v>
      </c>
      <c r="L40" s="28">
        <f t="shared" ca="1" si="32"/>
        <v>138</v>
      </c>
      <c r="M40" s="28">
        <f t="shared" ca="1" si="33"/>
        <v>138</v>
      </c>
    </row>
    <row r="41" spans="1:13" x14ac:dyDescent="0.3">
      <c r="A41" s="38">
        <v>10</v>
      </c>
      <c r="B41" s="28">
        <f t="shared" ca="1" si="26"/>
        <v>40</v>
      </c>
      <c r="C41" s="28">
        <f t="shared" ca="1" si="27"/>
        <v>40</v>
      </c>
      <c r="D41" s="29" t="str">
        <f t="shared" ca="1" si="23"/>
        <v>=1+LOG10(40)^2</v>
      </c>
      <c r="E41" s="28">
        <f t="shared" ca="1" si="24"/>
        <v>3.5665962158137505</v>
      </c>
      <c r="F41" s="30" t="str">
        <f t="shared" ca="1" si="28"/>
        <v>101000</v>
      </c>
      <c r="G41" s="28" t="str">
        <f t="shared" ca="1" si="25"/>
        <v>00101000</v>
      </c>
      <c r="H41" s="28" t="str">
        <f t="shared" ca="1" si="29"/>
        <v>0010</v>
      </c>
      <c r="I41" s="28" t="str">
        <f t="shared" ca="1" si="30"/>
        <v>1000</v>
      </c>
      <c r="J41" s="28" t="str">
        <f t="shared" ref="J41" ca="1" si="35">CONCATENATE(H41,I40)</f>
        <v>00101010</v>
      </c>
      <c r="K41" s="28" t="str">
        <f t="shared" ca="1" si="31"/>
        <v>00100010</v>
      </c>
      <c r="L41" s="28">
        <f t="shared" ca="1" si="32"/>
        <v>34</v>
      </c>
      <c r="M41" s="28">
        <f t="shared" ca="1" si="33"/>
        <v>113</v>
      </c>
    </row>
    <row r="42" spans="1:13" x14ac:dyDescent="0.3">
      <c r="A42" s="39">
        <v>11</v>
      </c>
      <c r="B42" s="28">
        <f t="shared" ca="1" si="26"/>
        <v>39</v>
      </c>
      <c r="C42" s="28">
        <f t="shared" ca="1" si="27"/>
        <v>39</v>
      </c>
      <c r="D42" s="10" t="str">
        <f t="shared" ca="1" si="23"/>
        <v>=1+LOG10(39)^2</v>
      </c>
      <c r="E42" s="5">
        <f t="shared" ca="1" si="24"/>
        <v>3.5314865837323879</v>
      </c>
      <c r="F42" s="11" t="str">
        <f ca="1">DEC2BIN(C42)</f>
        <v>100111</v>
      </c>
      <c r="G42" s="5" t="str">
        <f t="shared" ca="1" si="25"/>
        <v>00100111</v>
      </c>
      <c r="H42" s="5" t="str">
        <f t="shared" ca="1" si="29"/>
        <v>0010</v>
      </c>
      <c r="I42" s="5" t="str">
        <f t="shared" ca="1" si="30"/>
        <v>0111</v>
      </c>
      <c r="J42" s="9" t="str">
        <f t="shared" ref="J42" ca="1" si="36">CONCATENATE(I43,H42)</f>
        <v>00110010</v>
      </c>
      <c r="K42" s="5" t="str">
        <f t="shared" ca="1" si="31"/>
        <v>00111010</v>
      </c>
      <c r="L42" s="5">
        <f t="shared" ca="1" si="32"/>
        <v>58</v>
      </c>
      <c r="M42" s="28">
        <f t="shared" ca="1" si="33"/>
        <v>66</v>
      </c>
    </row>
    <row r="43" spans="1:13" x14ac:dyDescent="0.3">
      <c r="A43" s="39">
        <v>12</v>
      </c>
      <c r="B43" s="28">
        <f t="shared" ca="1" si="26"/>
        <v>35</v>
      </c>
      <c r="C43" s="28">
        <f t="shared" ca="1" si="27"/>
        <v>35</v>
      </c>
      <c r="D43" s="10" t="str">
        <f t="shared" ca="1" si="23"/>
        <v>=1+LOG10(35)^2</v>
      </c>
      <c r="E43" s="5">
        <f t="shared" ca="1" si="24"/>
        <v>3.3841461255836847</v>
      </c>
      <c r="F43" s="11" t="str">
        <f t="shared" ref="F43:F51" ca="1" si="37">DEC2BIN(C43)</f>
        <v>100011</v>
      </c>
      <c r="G43" s="5" t="str">
        <f t="shared" ca="1" si="25"/>
        <v>00100011</v>
      </c>
      <c r="H43" s="5" t="str">
        <f t="shared" ca="1" si="29"/>
        <v>0010</v>
      </c>
      <c r="I43" s="5" t="str">
        <f t="shared" ca="1" si="30"/>
        <v>0011</v>
      </c>
      <c r="J43" s="9" t="str">
        <f t="shared" ref="J43" ca="1" si="38">CONCATENATE(H43,I42)</f>
        <v>00100111</v>
      </c>
      <c r="K43" s="5" t="str">
        <f t="shared" ca="1" si="31"/>
        <v>00101111</v>
      </c>
      <c r="L43" s="5">
        <f t="shared" ca="1" si="32"/>
        <v>47</v>
      </c>
      <c r="M43" s="28">
        <f t="shared" ca="1" si="33"/>
        <v>58</v>
      </c>
    </row>
    <row r="44" spans="1:13" x14ac:dyDescent="0.3">
      <c r="A44" s="38">
        <v>13</v>
      </c>
      <c r="B44" s="28">
        <f t="shared" ca="1" si="26"/>
        <v>29</v>
      </c>
      <c r="C44" s="28">
        <f t="shared" ca="1" si="27"/>
        <v>29</v>
      </c>
      <c r="D44" s="29" t="str">
        <f t="shared" ca="1" si="23"/>
        <v>=1+LOG10(29)^2</v>
      </c>
      <c r="E44" s="28">
        <f t="shared" ca="1" si="24"/>
        <v>3.1386079042588753</v>
      </c>
      <c r="F44" s="30" t="str">
        <f t="shared" ca="1" si="37"/>
        <v>11101</v>
      </c>
      <c r="G44" s="28" t="str">
        <f t="shared" ca="1" si="25"/>
        <v>00011101</v>
      </c>
      <c r="H44" s="28" t="str">
        <f t="shared" ca="1" si="29"/>
        <v>0001</v>
      </c>
      <c r="I44" s="28" t="str">
        <f t="shared" ca="1" si="30"/>
        <v>1101</v>
      </c>
      <c r="J44" s="28" t="str">
        <f t="shared" ref="J44" ca="1" si="39">CONCATENATE(I45,H44)</f>
        <v>10110001</v>
      </c>
      <c r="K44" s="28" t="str">
        <f t="shared" ca="1" si="31"/>
        <v>10111001</v>
      </c>
      <c r="L44" s="28">
        <f t="shared" ca="1" si="32"/>
        <v>185</v>
      </c>
      <c r="M44" s="28">
        <f t="shared" ca="1" si="33"/>
        <v>57</v>
      </c>
    </row>
    <row r="45" spans="1:13" x14ac:dyDescent="0.3">
      <c r="A45" s="38">
        <v>14</v>
      </c>
      <c r="B45" s="28">
        <f t="shared" ca="1" si="26"/>
        <v>27</v>
      </c>
      <c r="C45" s="28">
        <f t="shared" ca="1" si="27"/>
        <v>27</v>
      </c>
      <c r="D45" s="29" t="str">
        <f t="shared" ca="1" si="23"/>
        <v>=1+LOG10(27)^2</v>
      </c>
      <c r="E45" s="28">
        <f t="shared" ca="1" si="24"/>
        <v>3.048802225347385</v>
      </c>
      <c r="F45" s="30" t="str">
        <f t="shared" ca="1" si="37"/>
        <v>11011</v>
      </c>
      <c r="G45" s="28" t="str">
        <f t="shared" ca="1" si="25"/>
        <v>00011011</v>
      </c>
      <c r="H45" s="28" t="str">
        <f t="shared" ca="1" si="29"/>
        <v>0001</v>
      </c>
      <c r="I45" s="28" t="str">
        <f t="shared" ca="1" si="30"/>
        <v>1011</v>
      </c>
      <c r="J45" s="28" t="str">
        <f t="shared" ref="J45" ca="1" si="40">CONCATENATE(H45,I44)</f>
        <v>00011101</v>
      </c>
      <c r="K45" s="28" t="str">
        <f t="shared" ca="1" si="31"/>
        <v>00010101</v>
      </c>
      <c r="L45" s="28">
        <f t="shared" ca="1" si="32"/>
        <v>21</v>
      </c>
      <c r="M45" s="28">
        <f t="shared" ca="1" si="33"/>
        <v>47</v>
      </c>
    </row>
    <row r="46" spans="1:13" x14ac:dyDescent="0.3">
      <c r="A46" s="39">
        <v>15</v>
      </c>
      <c r="B46" s="28">
        <f t="shared" ca="1" si="26"/>
        <v>27</v>
      </c>
      <c r="C46" s="28">
        <f t="shared" ca="1" si="27"/>
        <v>27</v>
      </c>
      <c r="D46" s="10" t="str">
        <f t="shared" ca="1" si="23"/>
        <v>=1+LOG10(27)^2</v>
      </c>
      <c r="E46" s="5">
        <f t="shared" ca="1" si="24"/>
        <v>3.048802225347385</v>
      </c>
      <c r="F46" s="11" t="str">
        <f t="shared" ca="1" si="37"/>
        <v>11011</v>
      </c>
      <c r="G46" s="5" t="str">
        <f t="shared" ca="1" si="25"/>
        <v>00011011</v>
      </c>
      <c r="H46" s="5" t="str">
        <f t="shared" ca="1" si="29"/>
        <v>0001</v>
      </c>
      <c r="I46" s="5" t="str">
        <f t="shared" ca="1" si="30"/>
        <v>1011</v>
      </c>
      <c r="J46" s="9" t="str">
        <f t="shared" ref="J46" ca="1" si="41">CONCATENATE(I47,H46)</f>
        <v>10010001</v>
      </c>
      <c r="K46" s="5" t="str">
        <f t="shared" ca="1" si="31"/>
        <v>10011001</v>
      </c>
      <c r="L46" s="5">
        <f t="shared" ca="1" si="32"/>
        <v>153</v>
      </c>
      <c r="M46" s="28">
        <f t="shared" ca="1" si="33"/>
        <v>34</v>
      </c>
    </row>
    <row r="47" spans="1:13" x14ac:dyDescent="0.3">
      <c r="A47" s="39">
        <v>16</v>
      </c>
      <c r="B47" s="28">
        <f t="shared" ca="1" si="26"/>
        <v>25</v>
      </c>
      <c r="C47" s="28">
        <f t="shared" ca="1" si="27"/>
        <v>25</v>
      </c>
      <c r="D47" s="10" t="str">
        <f t="shared" ca="1" si="23"/>
        <v>=1+LOG10(25)^2</v>
      </c>
      <c r="E47" s="5">
        <f t="shared" ca="1" si="24"/>
        <v>2.9542362678459768</v>
      </c>
      <c r="F47" s="11" t="str">
        <f t="shared" ca="1" si="37"/>
        <v>11001</v>
      </c>
      <c r="G47" s="5" t="str">
        <f t="shared" ca="1" si="25"/>
        <v>00011001</v>
      </c>
      <c r="H47" s="5" t="str">
        <f t="shared" ca="1" si="29"/>
        <v>0001</v>
      </c>
      <c r="I47" s="5" t="str">
        <f t="shared" ca="1" si="30"/>
        <v>1001</v>
      </c>
      <c r="J47" s="9" t="str">
        <f t="shared" ref="J47" ca="1" si="42">CONCATENATE(H47,I46)</f>
        <v>00011011</v>
      </c>
      <c r="K47" s="5" t="str">
        <f t="shared" ca="1" si="31"/>
        <v>00010011</v>
      </c>
      <c r="L47" s="5">
        <f t="shared" ca="1" si="32"/>
        <v>19</v>
      </c>
      <c r="M47" s="28">
        <f t="shared" ca="1" si="33"/>
        <v>33</v>
      </c>
    </row>
    <row r="48" spans="1:13" x14ac:dyDescent="0.3">
      <c r="A48" s="38">
        <v>17</v>
      </c>
      <c r="B48" s="28">
        <f t="shared" ca="1" si="26"/>
        <v>24</v>
      </c>
      <c r="C48" s="28">
        <f t="shared" ca="1" si="27"/>
        <v>24</v>
      </c>
      <c r="D48" s="29" t="str">
        <f t="shared" ca="1" si="23"/>
        <v>=1+LOG10(24)^2</v>
      </c>
      <c r="E48" s="28">
        <f t="shared" ca="1" si="24"/>
        <v>2.9049830717470932</v>
      </c>
      <c r="F48" s="30" t="str">
        <f t="shared" ca="1" si="37"/>
        <v>11000</v>
      </c>
      <c r="G48" s="28" t="str">
        <f t="shared" ca="1" si="25"/>
        <v>00011000</v>
      </c>
      <c r="H48" s="28" t="str">
        <f t="shared" ca="1" si="29"/>
        <v>0001</v>
      </c>
      <c r="I48" s="28" t="str">
        <f t="shared" ca="1" si="30"/>
        <v>1000</v>
      </c>
      <c r="J48" s="28" t="str">
        <f t="shared" ref="J48" ca="1" si="43">CONCATENATE(I49,H48)</f>
        <v>00110001</v>
      </c>
      <c r="K48" s="28" t="str">
        <f t="shared" ca="1" si="31"/>
        <v>00111001</v>
      </c>
      <c r="L48" s="28">
        <f t="shared" ca="1" si="32"/>
        <v>57</v>
      </c>
      <c r="M48" s="28">
        <f t="shared" ca="1" si="33"/>
        <v>21</v>
      </c>
    </row>
    <row r="49" spans="1:13" x14ac:dyDescent="0.3">
      <c r="A49" s="38">
        <v>18</v>
      </c>
      <c r="B49" s="28">
        <f t="shared" ca="1" si="26"/>
        <v>19</v>
      </c>
      <c r="C49" s="28">
        <f t="shared" ca="1" si="27"/>
        <v>19</v>
      </c>
      <c r="D49" s="29" t="str">
        <f t="shared" ca="1" si="23"/>
        <v>=1+LOG10(19)^2</v>
      </c>
      <c r="E49" s="28">
        <f t="shared" ca="1" si="24"/>
        <v>2.6352107719498266</v>
      </c>
      <c r="F49" s="30" t="str">
        <f t="shared" ca="1" si="37"/>
        <v>10011</v>
      </c>
      <c r="G49" s="28" t="str">
        <f t="shared" ca="1" si="25"/>
        <v>00010011</v>
      </c>
      <c r="H49" s="28" t="str">
        <f t="shared" ca="1" si="29"/>
        <v>0001</v>
      </c>
      <c r="I49" s="28" t="str">
        <f t="shared" ca="1" si="30"/>
        <v>0011</v>
      </c>
      <c r="J49" s="28" t="str">
        <f t="shared" ref="J49" ca="1" si="44">CONCATENATE(H49,I48)</f>
        <v>00011000</v>
      </c>
      <c r="K49" s="28" t="str">
        <f t="shared" ca="1" si="31"/>
        <v>00010000</v>
      </c>
      <c r="L49" s="28">
        <f t="shared" ca="1" si="32"/>
        <v>16</v>
      </c>
      <c r="M49" s="28">
        <f t="shared" ca="1" si="33"/>
        <v>19</v>
      </c>
    </row>
    <row r="50" spans="1:13" x14ac:dyDescent="0.3">
      <c r="A50" s="39">
        <v>19</v>
      </c>
      <c r="B50" s="28">
        <f t="shared" ca="1" si="26"/>
        <v>16</v>
      </c>
      <c r="C50" s="28">
        <f t="shared" ca="1" si="27"/>
        <v>16</v>
      </c>
      <c r="D50" s="10" t="str">
        <f t="shared" ca="1" si="23"/>
        <v>=1+LOG10(16)^2</v>
      </c>
      <c r="E50" s="5">
        <f t="shared" ca="1" si="24"/>
        <v>2.4499049326313047</v>
      </c>
      <c r="F50" s="11" t="str">
        <f t="shared" ca="1" si="37"/>
        <v>10000</v>
      </c>
      <c r="G50" s="5" t="str">
        <f t="shared" ca="1" si="25"/>
        <v>00010000</v>
      </c>
      <c r="H50" s="5" t="str">
        <f t="shared" ca="1" si="29"/>
        <v>0001</v>
      </c>
      <c r="I50" s="5" t="str">
        <f t="shared" ca="1" si="30"/>
        <v>0000</v>
      </c>
      <c r="J50" s="9" t="str">
        <f t="shared" ref="J50" ca="1" si="45">CONCATENATE(I51,H50)</f>
        <v>10100001</v>
      </c>
      <c r="K50" s="5" t="str">
        <f t="shared" ca="1" si="31"/>
        <v>10101001</v>
      </c>
      <c r="L50" s="5">
        <f t="shared" ca="1" si="32"/>
        <v>169</v>
      </c>
      <c r="M50" s="28">
        <f t="shared" ca="1" si="33"/>
        <v>16</v>
      </c>
    </row>
    <row r="51" spans="1:13" ht="15" thickBot="1" x14ac:dyDescent="0.35">
      <c r="A51" s="40">
        <v>20</v>
      </c>
      <c r="B51" s="28">
        <f t="shared" ca="1" si="26"/>
        <v>10</v>
      </c>
      <c r="C51" s="28">
        <f t="shared" ca="1" si="27"/>
        <v>10</v>
      </c>
      <c r="D51" s="10" t="str">
        <f t="shared" ca="1" si="23"/>
        <v>=1+LOG10(10)^2</v>
      </c>
      <c r="E51" s="5">
        <f t="shared" ca="1" si="24"/>
        <v>2</v>
      </c>
      <c r="F51" s="11" t="str">
        <f t="shared" ca="1" si="37"/>
        <v>1010</v>
      </c>
      <c r="G51" s="5" t="str">
        <f t="shared" ca="1" si="25"/>
        <v>00001010</v>
      </c>
      <c r="H51" s="5" t="str">
        <f t="shared" ca="1" si="29"/>
        <v>0000</v>
      </c>
      <c r="I51" s="5" t="str">
        <f t="shared" ca="1" si="30"/>
        <v>1010</v>
      </c>
      <c r="J51" s="9" t="str">
        <f t="shared" ref="J51" ca="1" si="46">CONCATENATE(H51,I50)</f>
        <v>00000000</v>
      </c>
      <c r="K51" s="5" t="str">
        <f t="shared" ca="1" si="31"/>
        <v>00001000</v>
      </c>
      <c r="L51" s="5">
        <f t="shared" ca="1" si="32"/>
        <v>8</v>
      </c>
      <c r="M51" s="28">
        <f t="shared" ca="1" si="33"/>
        <v>8</v>
      </c>
    </row>
    <row r="53" spans="1:13" x14ac:dyDescent="0.3">
      <c r="B53" s="46" t="s">
        <v>10</v>
      </c>
      <c r="C53" s="46"/>
      <c r="D53" s="46"/>
      <c r="E53" s="46"/>
      <c r="F53" s="46"/>
      <c r="G53" s="46"/>
      <c r="H53" s="46"/>
      <c r="I53" s="46"/>
      <c r="J53" s="46"/>
      <c r="K53" s="46"/>
      <c r="L53" s="46"/>
    </row>
    <row r="54" spans="1:13" ht="15" thickBot="1" x14ac:dyDescent="0.35">
      <c r="B54" s="6"/>
      <c r="C54" s="6"/>
      <c r="D54" s="8"/>
      <c r="E54" s="6"/>
      <c r="F54" s="6"/>
      <c r="G54" s="6" t="s">
        <v>1</v>
      </c>
      <c r="H54" s="6"/>
      <c r="I54" s="6"/>
      <c r="J54" s="6"/>
      <c r="K54" s="6"/>
      <c r="L54" s="6"/>
    </row>
    <row r="55" spans="1:13" ht="16.2" thickBot="1" x14ac:dyDescent="0.35">
      <c r="B55" s="41" t="s">
        <v>2</v>
      </c>
      <c r="C55" s="42" t="s">
        <v>3</v>
      </c>
      <c r="D55" s="43" t="str">
        <f ca="1">CONCATENATE("f(x) = y = ",B51)</f>
        <v>f(x) = y = 10</v>
      </c>
      <c r="E55" s="42" t="str">
        <f>CONCATENATE("f(x) = y = ",$B$3)</f>
        <v>f(x) = y = 1+LOG10(x)^2</v>
      </c>
      <c r="F55" s="42" t="s">
        <v>4</v>
      </c>
      <c r="G55" s="42" t="s">
        <v>5</v>
      </c>
      <c r="H55" s="42"/>
      <c r="I55" s="42"/>
      <c r="J55" s="42" t="s">
        <v>6</v>
      </c>
      <c r="K55" s="42" t="s">
        <v>7</v>
      </c>
      <c r="L55" s="42" t="s">
        <v>8</v>
      </c>
      <c r="M55" s="44" t="s">
        <v>3</v>
      </c>
    </row>
    <row r="56" spans="1:13" x14ac:dyDescent="0.3">
      <c r="A56" s="37">
        <v>1</v>
      </c>
      <c r="B56" s="28">
        <f ca="1">M32</f>
        <v>194</v>
      </c>
      <c r="C56" s="28">
        <f ca="1">IF(A56="","",LARGE($B$56:$B$75,A56))</f>
        <v>194</v>
      </c>
      <c r="D56" s="29" t="str">
        <f t="shared" ref="D56:D75" ca="1" si="47">CONCATENATE("=",SUBSTITUTE($B$3,"x",C56))</f>
        <v>=1+LOG10(194)^2</v>
      </c>
      <c r="E56" s="28">
        <f t="shared" ref="E56:E75" ca="1" si="48">eval(D56)</f>
        <v>6.2340367554717346</v>
      </c>
      <c r="F56" s="30" t="str">
        <f ca="1">DEC2BIN(C56)</f>
        <v>11000010</v>
      </c>
      <c r="G56" s="28" t="str">
        <f t="shared" ref="G56:G75" ca="1" si="49">IF(LEN(F56)=7,CONCATENATE("0",F56),IF(LEN(F56)=6,CONCATENATE("00",F56),IF(LEN(F56)=5,CONCATENATE("000",F56),IF(LEN(F56)=4,CONCATENATE("0000",F56),IF(LEN(F56)=3,CONCATENATE("000000",F56),IF(LEN(F56)=2,CONCATENATE("000000",F56),IF(LEN(F56)=1,CONCATENATE("0000000",F56),F56)))))))</f>
        <v>11000010</v>
      </c>
      <c r="H56" s="28" t="str">
        <f ca="1">MID(G56,1,$J$3)</f>
        <v>1100</v>
      </c>
      <c r="I56" s="28" t="str">
        <f ca="1">MID(G56,$J$3+1,8-$J$3)</f>
        <v>0010</v>
      </c>
      <c r="J56" s="28" t="str">
        <f ca="1">CONCATENATE(I57,H56)</f>
        <v>10111100</v>
      </c>
      <c r="K56" s="28" t="str">
        <f ca="1">REPLACE(J56,$K$3,1,IF(MID(J56,$K$3,1)="1",0,1))</f>
        <v>10110100</v>
      </c>
      <c r="L56" s="28">
        <f ca="1">BIN2DEC(K56)</f>
        <v>180</v>
      </c>
      <c r="M56" s="28">
        <f ca="1">IF(A56="","",LARGE($L$56:$L$75,A56))</f>
        <v>251</v>
      </c>
    </row>
    <row r="57" spans="1:13" x14ac:dyDescent="0.3">
      <c r="A57" s="38">
        <v>2</v>
      </c>
      <c r="B57" s="28">
        <f t="shared" ref="B57:B75" ca="1" si="50">M33</f>
        <v>187</v>
      </c>
      <c r="C57" s="28">
        <f t="shared" ref="C57:C75" ca="1" si="51">IF(A57="","",LARGE($B$56:$B$75,A57))</f>
        <v>187</v>
      </c>
      <c r="D57" s="29" t="str">
        <f t="shared" ca="1" si="47"/>
        <v>=1+LOG10(187)^2</v>
      </c>
      <c r="E57" s="28">
        <f t="shared" ca="1" si="48"/>
        <v>6.1612642851903408</v>
      </c>
      <c r="F57" s="30" t="str">
        <f t="shared" ref="F57:F65" ca="1" si="52">DEC2BIN(C57)</f>
        <v>10111011</v>
      </c>
      <c r="G57" s="28" t="str">
        <f t="shared" ca="1" si="49"/>
        <v>10111011</v>
      </c>
      <c r="H57" s="28" t="str">
        <f t="shared" ref="H57:H75" ca="1" si="53">MID(G57,1,$J$3)</f>
        <v>1011</v>
      </c>
      <c r="I57" s="28" t="str">
        <f t="shared" ref="I57:I75" ca="1" si="54">MID(G57,$J$3+1,8-$J$3)</f>
        <v>1011</v>
      </c>
      <c r="J57" s="28" t="str">
        <f ca="1">CONCATENATE(H57,I56)</f>
        <v>10110010</v>
      </c>
      <c r="K57" s="28" t="str">
        <f t="shared" ref="K57:K75" ca="1" si="55">REPLACE(J57,$K$3,1,IF(MID(J57,$K$3,1)="1",0,1))</f>
        <v>10111010</v>
      </c>
      <c r="L57" s="28">
        <f t="shared" ref="L57:L75" ca="1" si="56">BIN2DEC(K57)</f>
        <v>186</v>
      </c>
      <c r="M57" s="28">
        <f t="shared" ref="M57:M75" ca="1" si="57">IF(A57="","",LARGE($L$56:$L$75,A57))</f>
        <v>210</v>
      </c>
    </row>
    <row r="58" spans="1:13" x14ac:dyDescent="0.3">
      <c r="A58" s="39">
        <v>3</v>
      </c>
      <c r="B58" s="28">
        <f t="shared" ca="1" si="50"/>
        <v>185</v>
      </c>
      <c r="C58" s="28">
        <f t="shared" ca="1" si="51"/>
        <v>185</v>
      </c>
      <c r="D58" s="10" t="str">
        <f t="shared" ca="1" si="47"/>
        <v>=1+LOG10(185)^2</v>
      </c>
      <c r="E58" s="5">
        <f t="shared" ca="1" si="48"/>
        <v>6.1400676460699088</v>
      </c>
      <c r="F58" s="11" t="str">
        <f t="shared" ca="1" si="52"/>
        <v>10111001</v>
      </c>
      <c r="G58" s="5" t="str">
        <f t="shared" ca="1" si="49"/>
        <v>10111001</v>
      </c>
      <c r="H58" s="5" t="str">
        <f t="shared" ca="1" si="53"/>
        <v>1011</v>
      </c>
      <c r="I58" s="5" t="str">
        <f t="shared" ca="1" si="54"/>
        <v>1001</v>
      </c>
      <c r="J58" s="9" t="str">
        <f ca="1">CONCATENATE(I59,H58)</f>
        <v>10011011</v>
      </c>
      <c r="K58" s="5" t="str">
        <f t="shared" ca="1" si="55"/>
        <v>10010011</v>
      </c>
      <c r="L58" s="5">
        <f t="shared" ca="1" si="56"/>
        <v>147</v>
      </c>
      <c r="M58" s="28">
        <f t="shared" ca="1" si="57"/>
        <v>186</v>
      </c>
    </row>
    <row r="59" spans="1:13" x14ac:dyDescent="0.3">
      <c r="A59" s="39">
        <v>4</v>
      </c>
      <c r="B59" s="28">
        <f t="shared" ca="1" si="50"/>
        <v>169</v>
      </c>
      <c r="C59" s="28">
        <f t="shared" ca="1" si="51"/>
        <v>169</v>
      </c>
      <c r="D59" s="10" t="str">
        <f t="shared" ca="1" si="47"/>
        <v>=1+LOG10(169)^2</v>
      </c>
      <c r="E59" s="5">
        <f t="shared" ca="1" si="48"/>
        <v>5.9634791685943735</v>
      </c>
      <c r="F59" s="11" t="str">
        <f t="shared" ca="1" si="52"/>
        <v>10101001</v>
      </c>
      <c r="G59" s="5" t="str">
        <f t="shared" ca="1" si="49"/>
        <v>10101001</v>
      </c>
      <c r="H59" s="5" t="str">
        <f t="shared" ca="1" si="53"/>
        <v>1010</v>
      </c>
      <c r="I59" s="5" t="str">
        <f t="shared" ca="1" si="54"/>
        <v>1001</v>
      </c>
      <c r="J59" s="9" t="str">
        <f ca="1">CONCATENATE(H59,I58)</f>
        <v>10101001</v>
      </c>
      <c r="K59" s="5" t="str">
        <f t="shared" ca="1" si="55"/>
        <v>10100001</v>
      </c>
      <c r="L59" s="5">
        <f t="shared" ca="1" si="56"/>
        <v>161</v>
      </c>
      <c r="M59" s="28">
        <f t="shared" ca="1" si="57"/>
        <v>180</v>
      </c>
    </row>
    <row r="60" spans="1:13" x14ac:dyDescent="0.3">
      <c r="A60" s="38">
        <v>5</v>
      </c>
      <c r="B60" s="28">
        <f t="shared" ca="1" si="50"/>
        <v>167</v>
      </c>
      <c r="C60" s="28">
        <f t="shared" ca="1" si="51"/>
        <v>167</v>
      </c>
      <c r="D60" s="29" t="str">
        <f t="shared" ca="1" si="47"/>
        <v>=1+LOG10(167)^2</v>
      </c>
      <c r="E60" s="28">
        <f t="shared" ca="1" si="48"/>
        <v>5.9404685111107653</v>
      </c>
      <c r="F60" s="30" t="str">
        <f t="shared" ca="1" si="52"/>
        <v>10100111</v>
      </c>
      <c r="G60" s="28" t="str">
        <f t="shared" ca="1" si="49"/>
        <v>10100111</v>
      </c>
      <c r="H60" s="28" t="str">
        <f t="shared" ca="1" si="53"/>
        <v>1010</v>
      </c>
      <c r="I60" s="28" t="str">
        <f t="shared" ca="1" si="54"/>
        <v>0111</v>
      </c>
      <c r="J60" s="28" t="str">
        <f ca="1">CONCATENATE(I61,H60)</f>
        <v>11011010</v>
      </c>
      <c r="K60" s="28" t="str">
        <f t="shared" ca="1" si="55"/>
        <v>11010010</v>
      </c>
      <c r="L60" s="28">
        <f t="shared" ca="1" si="56"/>
        <v>210</v>
      </c>
      <c r="M60" s="28">
        <f t="shared" ca="1" si="57"/>
        <v>172</v>
      </c>
    </row>
    <row r="61" spans="1:13" x14ac:dyDescent="0.3">
      <c r="A61" s="38">
        <v>6</v>
      </c>
      <c r="B61" s="28">
        <f t="shared" ca="1" si="50"/>
        <v>157</v>
      </c>
      <c r="C61" s="28">
        <f t="shared" ca="1" si="51"/>
        <v>157</v>
      </c>
      <c r="D61" s="29" t="str">
        <f t="shared" ca="1" si="47"/>
        <v>=1+LOG10(157)^2</v>
      </c>
      <c r="E61" s="28">
        <f t="shared" ca="1" si="48"/>
        <v>5.8219752834509926</v>
      </c>
      <c r="F61" s="30" t="str">
        <f t="shared" ca="1" si="52"/>
        <v>10011101</v>
      </c>
      <c r="G61" s="28" t="str">
        <f t="shared" ca="1" si="49"/>
        <v>10011101</v>
      </c>
      <c r="H61" s="28" t="str">
        <f t="shared" ca="1" si="53"/>
        <v>1001</v>
      </c>
      <c r="I61" s="28" t="str">
        <f t="shared" ca="1" si="54"/>
        <v>1101</v>
      </c>
      <c r="J61" s="28" t="str">
        <f ca="1">CONCATENATE(H61,I60)</f>
        <v>10010111</v>
      </c>
      <c r="K61" s="28" t="str">
        <f t="shared" ca="1" si="55"/>
        <v>10011111</v>
      </c>
      <c r="L61" s="28">
        <f t="shared" ca="1" si="56"/>
        <v>159</v>
      </c>
      <c r="M61" s="28">
        <f t="shared" ca="1" si="57"/>
        <v>161</v>
      </c>
    </row>
    <row r="62" spans="1:13" x14ac:dyDescent="0.3">
      <c r="A62" s="39">
        <v>7</v>
      </c>
      <c r="B62" s="28">
        <f t="shared" ca="1" si="50"/>
        <v>153</v>
      </c>
      <c r="C62" s="28">
        <f t="shared" ca="1" si="51"/>
        <v>153</v>
      </c>
      <c r="D62" s="10" t="str">
        <f t="shared" ca="1" si="47"/>
        <v>=1+LOG10(153)^2</v>
      </c>
      <c r="E62" s="5">
        <f t="shared" ca="1" si="48"/>
        <v>5.7728766478878475</v>
      </c>
      <c r="F62" s="11" t="str">
        <f t="shared" ca="1" si="52"/>
        <v>10011001</v>
      </c>
      <c r="G62" s="5" t="str">
        <f t="shared" ca="1" si="49"/>
        <v>10011001</v>
      </c>
      <c r="H62" s="5" t="str">
        <f t="shared" ca="1" si="53"/>
        <v>1001</v>
      </c>
      <c r="I62" s="5" t="str">
        <f t="shared" ca="1" si="54"/>
        <v>1001</v>
      </c>
      <c r="J62" s="9" t="str">
        <f ca="1">CONCATENATE(I63,H62)</f>
        <v>00011001</v>
      </c>
      <c r="K62" s="5" t="str">
        <f t="shared" ca="1" si="55"/>
        <v>00010001</v>
      </c>
      <c r="L62" s="5">
        <f t="shared" ca="1" si="56"/>
        <v>17</v>
      </c>
      <c r="M62" s="28">
        <f t="shared" ca="1" si="57"/>
        <v>159</v>
      </c>
    </row>
    <row r="63" spans="1:13" x14ac:dyDescent="0.3">
      <c r="A63" s="39">
        <v>8</v>
      </c>
      <c r="B63" s="28">
        <f t="shared" ca="1" si="50"/>
        <v>145</v>
      </c>
      <c r="C63" s="28">
        <f t="shared" ca="1" si="51"/>
        <v>145</v>
      </c>
      <c r="D63" s="10" t="str">
        <f t="shared" ca="1" si="47"/>
        <v>=1+LOG10(145)^2</v>
      </c>
      <c r="E63" s="5">
        <f t="shared" ca="1" si="48"/>
        <v>5.671511641085206</v>
      </c>
      <c r="F63" s="11" t="str">
        <f t="shared" ca="1" si="52"/>
        <v>10010001</v>
      </c>
      <c r="G63" s="5" t="str">
        <f t="shared" ca="1" si="49"/>
        <v>10010001</v>
      </c>
      <c r="H63" s="5" t="str">
        <f t="shared" ca="1" si="53"/>
        <v>1001</v>
      </c>
      <c r="I63" s="5" t="str">
        <f t="shared" ca="1" si="54"/>
        <v>0001</v>
      </c>
      <c r="J63" s="9" t="str">
        <f ca="1">CONCATENATE(H63,I62)</f>
        <v>10011001</v>
      </c>
      <c r="K63" s="5" t="str">
        <f t="shared" ca="1" si="55"/>
        <v>10010001</v>
      </c>
      <c r="L63" s="5">
        <f t="shared" ca="1" si="56"/>
        <v>145</v>
      </c>
      <c r="M63" s="28">
        <f t="shared" ca="1" si="57"/>
        <v>147</v>
      </c>
    </row>
    <row r="64" spans="1:13" x14ac:dyDescent="0.3">
      <c r="A64" s="38">
        <v>9</v>
      </c>
      <c r="B64" s="28">
        <f t="shared" ca="1" si="50"/>
        <v>138</v>
      </c>
      <c r="C64" s="28">
        <f t="shared" ca="1" si="51"/>
        <v>138</v>
      </c>
      <c r="D64" s="29" t="str">
        <f t="shared" ca="1" si="47"/>
        <v>=1+LOG10(138)^2</v>
      </c>
      <c r="E64" s="28">
        <f t="shared" ca="1" si="48"/>
        <v>5.5790825044173902</v>
      </c>
      <c r="F64" s="30" t="str">
        <f t="shared" ca="1" si="52"/>
        <v>10001010</v>
      </c>
      <c r="G64" s="28" t="str">
        <f t="shared" ca="1" si="49"/>
        <v>10001010</v>
      </c>
      <c r="H64" s="28" t="str">
        <f t="shared" ca="1" si="53"/>
        <v>1000</v>
      </c>
      <c r="I64" s="28" t="str">
        <f t="shared" ca="1" si="54"/>
        <v>1010</v>
      </c>
      <c r="J64" s="28" t="str">
        <f t="shared" ref="J64" ca="1" si="58">CONCATENATE(I65,H64)</f>
        <v>00011000</v>
      </c>
      <c r="K64" s="28" t="str">
        <f t="shared" ca="1" si="55"/>
        <v>00010000</v>
      </c>
      <c r="L64" s="28">
        <f t="shared" ca="1" si="56"/>
        <v>16</v>
      </c>
      <c r="M64" s="28">
        <f t="shared" ca="1" si="57"/>
        <v>145</v>
      </c>
    </row>
    <row r="65" spans="1:13" x14ac:dyDescent="0.3">
      <c r="A65" s="38">
        <v>10</v>
      </c>
      <c r="B65" s="28">
        <f t="shared" ca="1" si="50"/>
        <v>113</v>
      </c>
      <c r="C65" s="28">
        <f t="shared" ca="1" si="51"/>
        <v>113</v>
      </c>
      <c r="D65" s="29" t="str">
        <f t="shared" ca="1" si="47"/>
        <v>=1+LOG10(113)^2</v>
      </c>
      <c r="E65" s="28">
        <f t="shared" ca="1" si="48"/>
        <v>5.2151310950963001</v>
      </c>
      <c r="F65" s="30" t="str">
        <f t="shared" ca="1" si="52"/>
        <v>1110001</v>
      </c>
      <c r="G65" s="28" t="str">
        <f t="shared" ca="1" si="49"/>
        <v>01110001</v>
      </c>
      <c r="H65" s="28" t="str">
        <f t="shared" ca="1" si="53"/>
        <v>0111</v>
      </c>
      <c r="I65" s="28" t="str">
        <f t="shared" ca="1" si="54"/>
        <v>0001</v>
      </c>
      <c r="J65" s="28" t="str">
        <f t="shared" ref="J65" ca="1" si="59">CONCATENATE(H65,I64)</f>
        <v>01111010</v>
      </c>
      <c r="K65" s="28" t="str">
        <f t="shared" ca="1" si="55"/>
        <v>01110010</v>
      </c>
      <c r="L65" s="28">
        <f t="shared" ca="1" si="56"/>
        <v>114</v>
      </c>
      <c r="M65" s="28">
        <f t="shared" ca="1" si="57"/>
        <v>137</v>
      </c>
    </row>
    <row r="66" spans="1:13" x14ac:dyDescent="0.3">
      <c r="A66" s="39">
        <v>11</v>
      </c>
      <c r="B66" s="28">
        <f t="shared" ca="1" si="50"/>
        <v>66</v>
      </c>
      <c r="C66" s="28">
        <f t="shared" ca="1" si="51"/>
        <v>66</v>
      </c>
      <c r="D66" s="10" t="str">
        <f t="shared" ca="1" si="47"/>
        <v>=1+LOG10(66)^2</v>
      </c>
      <c r="E66" s="5">
        <f t="shared" ca="1" si="48"/>
        <v>4.310740133367192</v>
      </c>
      <c r="F66" s="11" t="str">
        <f ca="1">DEC2BIN(C66)</f>
        <v>1000010</v>
      </c>
      <c r="G66" s="5" t="str">
        <f t="shared" ca="1" si="49"/>
        <v>01000010</v>
      </c>
      <c r="H66" s="5" t="str">
        <f t="shared" ca="1" si="53"/>
        <v>0100</v>
      </c>
      <c r="I66" s="5" t="str">
        <f t="shared" ca="1" si="54"/>
        <v>0010</v>
      </c>
      <c r="J66" s="9" t="str">
        <f t="shared" ref="J66" ca="1" si="60">CONCATENATE(I67,H66)</f>
        <v>10100100</v>
      </c>
      <c r="K66" s="5" t="str">
        <f t="shared" ca="1" si="55"/>
        <v>10101100</v>
      </c>
      <c r="L66" s="5">
        <f t="shared" ca="1" si="56"/>
        <v>172</v>
      </c>
      <c r="M66" s="28">
        <f t="shared" ca="1" si="57"/>
        <v>114</v>
      </c>
    </row>
    <row r="67" spans="1:13" x14ac:dyDescent="0.3">
      <c r="A67" s="39">
        <v>12</v>
      </c>
      <c r="B67" s="28">
        <f t="shared" ca="1" si="50"/>
        <v>58</v>
      </c>
      <c r="C67" s="28">
        <f t="shared" ca="1" si="51"/>
        <v>58</v>
      </c>
      <c r="D67" s="10" t="str">
        <f t="shared" ca="1" si="47"/>
        <v>=1+LOG10(58)^2</v>
      </c>
      <c r="E67" s="5">
        <f t="shared" ca="1" si="48"/>
        <v>4.1096782884814065</v>
      </c>
      <c r="F67" s="11" t="str">
        <f t="shared" ref="F67:F75" ca="1" si="61">DEC2BIN(C67)</f>
        <v>111010</v>
      </c>
      <c r="G67" s="5" t="str">
        <f t="shared" ca="1" si="49"/>
        <v>00111010</v>
      </c>
      <c r="H67" s="5" t="str">
        <f t="shared" ca="1" si="53"/>
        <v>0011</v>
      </c>
      <c r="I67" s="5" t="str">
        <f t="shared" ca="1" si="54"/>
        <v>1010</v>
      </c>
      <c r="J67" s="9" t="str">
        <f t="shared" ref="J67" ca="1" si="62">CONCATENATE(H67,I66)</f>
        <v>00110010</v>
      </c>
      <c r="K67" s="5" t="str">
        <f t="shared" ca="1" si="55"/>
        <v>00111010</v>
      </c>
      <c r="L67" s="5">
        <f t="shared" ca="1" si="56"/>
        <v>58</v>
      </c>
      <c r="M67" s="28">
        <f t="shared" ca="1" si="57"/>
        <v>58</v>
      </c>
    </row>
    <row r="68" spans="1:13" x14ac:dyDescent="0.3">
      <c r="A68" s="38">
        <v>13</v>
      </c>
      <c r="B68" s="28">
        <f t="shared" ca="1" si="50"/>
        <v>57</v>
      </c>
      <c r="C68" s="28">
        <f t="shared" ca="1" si="51"/>
        <v>57</v>
      </c>
      <c r="D68" s="29" t="str">
        <f t="shared" ca="1" si="47"/>
        <v>=1+LOG10(57)^2</v>
      </c>
      <c r="E68" s="28">
        <f t="shared" ca="1" si="48"/>
        <v>4.0830965087828925</v>
      </c>
      <c r="F68" s="30" t="str">
        <f t="shared" ca="1" si="61"/>
        <v>111001</v>
      </c>
      <c r="G68" s="28" t="str">
        <f t="shared" ca="1" si="49"/>
        <v>00111001</v>
      </c>
      <c r="H68" s="28" t="str">
        <f t="shared" ca="1" si="53"/>
        <v>0011</v>
      </c>
      <c r="I68" s="28" t="str">
        <f t="shared" ca="1" si="54"/>
        <v>1001</v>
      </c>
      <c r="J68" s="28" t="str">
        <f t="shared" ref="J68" ca="1" si="63">CONCATENATE(I69,H68)</f>
        <v>11110011</v>
      </c>
      <c r="K68" s="28" t="str">
        <f t="shared" ca="1" si="55"/>
        <v>11111011</v>
      </c>
      <c r="L68" s="28">
        <f t="shared" ca="1" si="56"/>
        <v>251</v>
      </c>
      <c r="M68" s="28">
        <f t="shared" ca="1" si="57"/>
        <v>57</v>
      </c>
    </row>
    <row r="69" spans="1:13" x14ac:dyDescent="0.3">
      <c r="A69" s="38">
        <v>14</v>
      </c>
      <c r="B69" s="28">
        <f t="shared" ca="1" si="50"/>
        <v>47</v>
      </c>
      <c r="C69" s="28">
        <f t="shared" ca="1" si="51"/>
        <v>47</v>
      </c>
      <c r="D69" s="29" t="str">
        <f t="shared" ca="1" si="47"/>
        <v>=1+LOG10(47)^2</v>
      </c>
      <c r="E69" s="28">
        <f t="shared" ca="1" si="48"/>
        <v>3.795911246513215</v>
      </c>
      <c r="F69" s="30" t="str">
        <f t="shared" ca="1" si="61"/>
        <v>101111</v>
      </c>
      <c r="G69" s="28" t="str">
        <f t="shared" ca="1" si="49"/>
        <v>00101111</v>
      </c>
      <c r="H69" s="28" t="str">
        <f t="shared" ca="1" si="53"/>
        <v>0010</v>
      </c>
      <c r="I69" s="28" t="str">
        <f t="shared" ca="1" si="54"/>
        <v>1111</v>
      </c>
      <c r="J69" s="28" t="str">
        <f t="shared" ref="J69" ca="1" si="64">CONCATENATE(H69,I68)</f>
        <v>00101001</v>
      </c>
      <c r="K69" s="28" t="str">
        <f t="shared" ca="1" si="55"/>
        <v>00100001</v>
      </c>
      <c r="L69" s="28">
        <f t="shared" ca="1" si="56"/>
        <v>33</v>
      </c>
      <c r="M69" s="28">
        <f t="shared" ca="1" si="57"/>
        <v>42</v>
      </c>
    </row>
    <row r="70" spans="1:13" x14ac:dyDescent="0.3">
      <c r="A70" s="39">
        <v>15</v>
      </c>
      <c r="B70" s="28">
        <f t="shared" ca="1" si="50"/>
        <v>34</v>
      </c>
      <c r="C70" s="28">
        <f t="shared" ca="1" si="51"/>
        <v>34</v>
      </c>
      <c r="D70" s="10" t="str">
        <f t="shared" ca="1" si="47"/>
        <v>=1+LOG10(34)^2</v>
      </c>
      <c r="E70" s="5">
        <f t="shared" ca="1" si="48"/>
        <v>3.3454276733449184</v>
      </c>
      <c r="F70" s="11" t="str">
        <f t="shared" ca="1" si="61"/>
        <v>100010</v>
      </c>
      <c r="G70" s="5" t="str">
        <f t="shared" ca="1" si="49"/>
        <v>00100010</v>
      </c>
      <c r="H70" s="5" t="str">
        <f t="shared" ca="1" si="53"/>
        <v>0010</v>
      </c>
      <c r="I70" s="5" t="str">
        <f t="shared" ca="1" si="54"/>
        <v>0010</v>
      </c>
      <c r="J70" s="9" t="str">
        <f t="shared" ref="J70" ca="1" si="65">CONCATENATE(I71,H70)</f>
        <v>00010010</v>
      </c>
      <c r="K70" s="5" t="str">
        <f t="shared" ca="1" si="55"/>
        <v>00011010</v>
      </c>
      <c r="L70" s="5">
        <f t="shared" ca="1" si="56"/>
        <v>26</v>
      </c>
      <c r="M70" s="28">
        <f t="shared" ca="1" si="57"/>
        <v>33</v>
      </c>
    </row>
    <row r="71" spans="1:13" x14ac:dyDescent="0.3">
      <c r="A71" s="39">
        <v>16</v>
      </c>
      <c r="B71" s="28">
        <f t="shared" ca="1" si="50"/>
        <v>33</v>
      </c>
      <c r="C71" s="28">
        <f t="shared" ca="1" si="51"/>
        <v>33</v>
      </c>
      <c r="D71" s="10" t="str">
        <f t="shared" ca="1" si="47"/>
        <v>=1+LOG10(33)^2</v>
      </c>
      <c r="E71" s="5">
        <f t="shared" ca="1" si="48"/>
        <v>3.3058845856034647</v>
      </c>
      <c r="F71" s="11" t="str">
        <f t="shared" ca="1" si="61"/>
        <v>100001</v>
      </c>
      <c r="G71" s="5" t="str">
        <f t="shared" ca="1" si="49"/>
        <v>00100001</v>
      </c>
      <c r="H71" s="5" t="str">
        <f t="shared" ca="1" si="53"/>
        <v>0010</v>
      </c>
      <c r="I71" s="5" t="str">
        <f t="shared" ca="1" si="54"/>
        <v>0001</v>
      </c>
      <c r="J71" s="9" t="str">
        <f t="shared" ref="J71" ca="1" si="66">CONCATENATE(H71,I70)</f>
        <v>00100010</v>
      </c>
      <c r="K71" s="5" t="str">
        <f t="shared" ca="1" si="55"/>
        <v>00101010</v>
      </c>
      <c r="L71" s="5">
        <f t="shared" ca="1" si="56"/>
        <v>42</v>
      </c>
      <c r="M71" s="28">
        <f t="shared" ca="1" si="57"/>
        <v>29</v>
      </c>
    </row>
    <row r="72" spans="1:13" x14ac:dyDescent="0.3">
      <c r="A72" s="38">
        <v>17</v>
      </c>
      <c r="B72" s="28">
        <f t="shared" ca="1" si="50"/>
        <v>21</v>
      </c>
      <c r="C72" s="28">
        <f t="shared" ca="1" si="51"/>
        <v>21</v>
      </c>
      <c r="D72" s="29" t="str">
        <f t="shared" ca="1" si="47"/>
        <v>=1+LOG10(21)^2</v>
      </c>
      <c r="E72" s="28">
        <f t="shared" ca="1" si="48"/>
        <v>2.7482638633666632</v>
      </c>
      <c r="F72" s="30" t="str">
        <f t="shared" ca="1" si="61"/>
        <v>10101</v>
      </c>
      <c r="G72" s="28" t="str">
        <f t="shared" ca="1" si="49"/>
        <v>00010101</v>
      </c>
      <c r="H72" s="28" t="str">
        <f t="shared" ca="1" si="53"/>
        <v>0001</v>
      </c>
      <c r="I72" s="28" t="str">
        <f t="shared" ca="1" si="54"/>
        <v>0101</v>
      </c>
      <c r="J72" s="28" t="str">
        <f t="shared" ref="J72" ca="1" si="67">CONCATENATE(I73,H72)</f>
        <v>00110001</v>
      </c>
      <c r="K72" s="28" t="str">
        <f t="shared" ca="1" si="55"/>
        <v>00111001</v>
      </c>
      <c r="L72" s="28">
        <f t="shared" ca="1" si="56"/>
        <v>57</v>
      </c>
      <c r="M72" s="28">
        <f t="shared" ca="1" si="57"/>
        <v>26</v>
      </c>
    </row>
    <row r="73" spans="1:13" x14ac:dyDescent="0.3">
      <c r="A73" s="38">
        <v>18</v>
      </c>
      <c r="B73" s="28">
        <f t="shared" ca="1" si="50"/>
        <v>19</v>
      </c>
      <c r="C73" s="28">
        <f t="shared" ca="1" si="51"/>
        <v>19</v>
      </c>
      <c r="D73" s="29" t="str">
        <f t="shared" ca="1" si="47"/>
        <v>=1+LOG10(19)^2</v>
      </c>
      <c r="E73" s="28">
        <f t="shared" ca="1" si="48"/>
        <v>2.6352107719498266</v>
      </c>
      <c r="F73" s="30" t="str">
        <f t="shared" ca="1" si="61"/>
        <v>10011</v>
      </c>
      <c r="G73" s="28" t="str">
        <f t="shared" ca="1" si="49"/>
        <v>00010011</v>
      </c>
      <c r="H73" s="28" t="str">
        <f t="shared" ca="1" si="53"/>
        <v>0001</v>
      </c>
      <c r="I73" s="28" t="str">
        <f t="shared" ca="1" si="54"/>
        <v>0011</v>
      </c>
      <c r="J73" s="28" t="str">
        <f t="shared" ref="J73" ca="1" si="68">CONCATENATE(H73,I72)</f>
        <v>00010101</v>
      </c>
      <c r="K73" s="28" t="str">
        <f t="shared" ca="1" si="55"/>
        <v>00011101</v>
      </c>
      <c r="L73" s="28">
        <f t="shared" ca="1" si="56"/>
        <v>29</v>
      </c>
      <c r="M73" s="28">
        <f t="shared" ca="1" si="57"/>
        <v>17</v>
      </c>
    </row>
    <row r="74" spans="1:13" x14ac:dyDescent="0.3">
      <c r="A74" s="39">
        <v>19</v>
      </c>
      <c r="B74" s="28">
        <f t="shared" ca="1" si="50"/>
        <v>16</v>
      </c>
      <c r="C74" s="28">
        <f t="shared" ca="1" si="51"/>
        <v>16</v>
      </c>
      <c r="D74" s="10" t="str">
        <f t="shared" ca="1" si="47"/>
        <v>=1+LOG10(16)^2</v>
      </c>
      <c r="E74" s="5">
        <f t="shared" ca="1" si="48"/>
        <v>2.4499049326313047</v>
      </c>
      <c r="F74" s="11" t="str">
        <f t="shared" ca="1" si="61"/>
        <v>10000</v>
      </c>
      <c r="G74" s="5" t="str">
        <f t="shared" ca="1" si="49"/>
        <v>00010000</v>
      </c>
      <c r="H74" s="5" t="str">
        <f t="shared" ca="1" si="53"/>
        <v>0001</v>
      </c>
      <c r="I74" s="5" t="str">
        <f t="shared" ca="1" si="54"/>
        <v>0000</v>
      </c>
      <c r="J74" s="9" t="str">
        <f t="shared" ref="J74" ca="1" si="69">CONCATENATE(I75,H74)</f>
        <v>10000001</v>
      </c>
      <c r="K74" s="5" t="str">
        <f t="shared" ca="1" si="55"/>
        <v>10001001</v>
      </c>
      <c r="L74" s="5">
        <f t="shared" ca="1" si="56"/>
        <v>137</v>
      </c>
      <c r="M74" s="28">
        <f t="shared" ca="1" si="57"/>
        <v>16</v>
      </c>
    </row>
    <row r="75" spans="1:13" ht="15" thickBot="1" x14ac:dyDescent="0.35">
      <c r="A75" s="40">
        <v>20</v>
      </c>
      <c r="B75" s="28">
        <f t="shared" ca="1" si="50"/>
        <v>8</v>
      </c>
      <c r="C75" s="28">
        <f t="shared" ca="1" si="51"/>
        <v>8</v>
      </c>
      <c r="D75" s="10" t="str">
        <f t="shared" ca="1" si="47"/>
        <v>=1+LOG10(8)^2</v>
      </c>
      <c r="E75" s="5">
        <f t="shared" ca="1" si="48"/>
        <v>1.8155715246051087</v>
      </c>
      <c r="F75" s="11" t="str">
        <f t="shared" ca="1" si="61"/>
        <v>1000</v>
      </c>
      <c r="G75" s="5" t="str">
        <f t="shared" ca="1" si="49"/>
        <v>00001000</v>
      </c>
      <c r="H75" s="5" t="str">
        <f t="shared" ca="1" si="53"/>
        <v>0000</v>
      </c>
      <c r="I75" s="5" t="str">
        <f t="shared" ca="1" si="54"/>
        <v>1000</v>
      </c>
      <c r="J75" s="9" t="str">
        <f t="shared" ref="J75" ca="1" si="70">CONCATENATE(H75,I74)</f>
        <v>00000000</v>
      </c>
      <c r="K75" s="5" t="str">
        <f t="shared" ca="1" si="55"/>
        <v>00001000</v>
      </c>
      <c r="L75" s="5">
        <f t="shared" ca="1" si="56"/>
        <v>8</v>
      </c>
      <c r="M75" s="28">
        <f t="shared" ca="1" si="57"/>
        <v>8</v>
      </c>
    </row>
  </sheetData>
  <mergeCells count="4">
    <mergeCell ref="B53:L53"/>
    <mergeCell ref="B5:L5"/>
    <mergeCell ref="B29:L29"/>
    <mergeCell ref="B3:E3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2021-05-25T16:38:01Z</dcterms:created>
  <dcterms:modified xsi:type="dcterms:W3CDTF">2021-05-31T02:07:07Z</dcterms:modified>
</cp:coreProperties>
</file>